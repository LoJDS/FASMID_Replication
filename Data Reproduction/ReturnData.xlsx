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Downloads\"/>
    </mc:Choice>
  </mc:AlternateContent>
  <xr:revisionPtr revIDLastSave="0" documentId="13_ncr:1_{DE7B25D4-18FE-441E-95D2-90C36EDB23C2}" xr6:coauthVersionLast="47" xr6:coauthVersionMax="47" xr10:uidLastSave="{00000000-0000-0000-0000-000000000000}"/>
  <bookViews>
    <workbookView xWindow="-110" yWindow="-110" windowWidth="19420" windowHeight="11500" activeTab="6" xr2:uid="{00000000-000D-0000-FFFF-FFFF00000000}"/>
  </bookViews>
  <sheets>
    <sheet name="Data" sheetId="11" r:id="rId1"/>
    <sheet name="Feuil3" sheetId="5" r:id="rId2"/>
    <sheet name="Feuil4" sheetId="6" r:id="rId3"/>
    <sheet name="Feuil5" sheetId="7" r:id="rId4"/>
    <sheet name="Feuil6" sheetId="8" r:id="rId5"/>
    <sheet name="Feuil7" sheetId="9" r:id="rId6"/>
    <sheet name="Feuil1" sheetId="3" r:id="rId7"/>
    <sheet name="README" sheetId="1" r:id="rId8"/>
    <sheet name="Annual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  <c r="B34" i="3" l="1"/>
  <c r="D19" i="3"/>
  <c r="D5" i="3"/>
  <c r="D6" i="3"/>
  <c r="D22" i="3"/>
  <c r="D7" i="3"/>
  <c r="D23" i="3"/>
  <c r="D8" i="3"/>
  <c r="D24" i="3"/>
  <c r="D9" i="3"/>
  <c r="D25" i="3"/>
  <c r="D10" i="3"/>
  <c r="D26" i="3"/>
  <c r="D11" i="3"/>
  <c r="D27" i="3"/>
  <c r="D12" i="3"/>
  <c r="D28" i="3"/>
  <c r="D17" i="3"/>
  <c r="D21" i="3"/>
  <c r="D13" i="3" l="1"/>
  <c r="D29" i="3"/>
  <c r="D14" i="3"/>
  <c r="D30" i="3"/>
  <c r="D31" i="3"/>
  <c r="D16" i="3"/>
  <c r="D32" i="3"/>
  <c r="D3" i="3"/>
  <c r="D18" i="3"/>
  <c r="D4" i="3"/>
  <c r="D20" i="3"/>
  <c r="D15" i="3"/>
  <c r="E57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52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51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52" i="2"/>
  <c r="E52" i="2"/>
  <c r="E53" i="2"/>
  <c r="E54" i="2"/>
  <c r="E55" i="2"/>
  <c r="E56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51" i="2"/>
  <c r="D51" i="2"/>
  <c r="D5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<sst xmlns="http://schemas.openxmlformats.org/spreadsheetml/2006/main" count="149" uniqueCount="38">
  <si>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</si>
  <si>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</si>
  <si>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</si>
  <si>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</si>
  <si>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</si>
  <si>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2025-07-01 9:07 am CDT</t>
  </si>
  <si>
    <t>BOGZ1FL153064476A</t>
  </si>
  <si>
    <t>Households and Nonprofit Organizations; Directly and Indirectly Held Corporate Equities as a Percentage of Total Assets, Level, Percent, Annual, Not Seasonally Adjusted</t>
  </si>
  <si>
    <t>Data Updated: 2025-06-12</t>
  </si>
  <si>
    <t>observation_date</t>
  </si>
  <si>
    <t>difflog_stocks</t>
  </si>
  <si>
    <t>difflog_share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</si>
  <si>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</si>
  <si>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</si>
  <si>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</si>
  <si>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</si>
  <si>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</si>
  <si>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</si>
  <si>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</si>
  <si>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</si>
  <si>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</si>
  <si>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</si>
  <si>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</si>
  <si>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</si>
  <si>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</si>
  <si>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</si>
  <si>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</si>
  <si>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</si>
  <si>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</si>
  <si>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</si>
  <si>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</si>
  <si>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</si>
  <si>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</si>
  <si>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95.0%</t>
  </si>
  <si>
    <t>Limite supérieure pour seuil de confiance =  95.0%</t>
  </si>
  <si>
    <t>Variable X 1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</si>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</sst>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0000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Continuous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A8D8122-C1A6-4BEC-B950-FF2CEB3001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EF25-8A9A-46C7-97BB-6EDDB1B89E03}">
  <dimension ref="A1:B31"/>
  <sheetViews>
    <sheetView workbookViewId="0">
      <selection activeCell="A2" sqref="A2"/>
    </sheetView>
  </sheetViews>
  <sheetFormatPr baseColWidth="10" defaultRowHeight="14.5" x14ac:dyDescent="0.35"/>
  <sheetData>
    <row r="1" spans="1:2" x14ac:dyDescent="0.35">
      <c r="A1" t="s">
        <v>36</v>
      </c>
      <c r="B1" t="s">
        <v>37</v>
      </c>
    </row>
    <row r="2" spans="1:2" x14ac:dyDescent="0.35">
      <c r="A2">
        <v>0.24403367688271771</v>
      </c>
      <c r="B2">
        <v>0.24464867757827885</v>
      </c>
    </row>
    <row r="3" spans="1:2" x14ac:dyDescent="0.35">
      <c r="A3">
        <v>9.9527881669097498E-2</v>
      </c>
      <c r="B3">
        <v>9.4020184958189257E-2</v>
      </c>
    </row>
    <row r="4" spans="1:2" x14ac:dyDescent="0.35">
      <c r="A4">
        <v>0.17150670646143965</v>
      </c>
      <c r="B4">
        <v>0.2154165832405644</v>
      </c>
    </row>
    <row r="5" spans="1:2" x14ac:dyDescent="0.35">
      <c r="A5">
        <v>0.10249945682534521</v>
      </c>
      <c r="B5">
        <v>0.16968121776386252</v>
      </c>
    </row>
    <row r="6" spans="1:2" x14ac:dyDescent="0.35">
      <c r="A6">
        <v>0.12881696066960518</v>
      </c>
      <c r="B6">
        <v>8.3909858527487807E-2</v>
      </c>
    </row>
    <row r="7" spans="1:2" x14ac:dyDescent="0.35">
      <c r="A7">
        <v>-0.1409502803703804</v>
      </c>
      <c r="B7">
        <v>-0.21345779830004147</v>
      </c>
    </row>
    <row r="8" spans="1:2" x14ac:dyDescent="0.35">
      <c r="A8">
        <v>-0.13965847291918265</v>
      </c>
      <c r="B8">
        <v>-0.22530671373298525</v>
      </c>
    </row>
    <row r="9" spans="1:2" x14ac:dyDescent="0.35">
      <c r="A9">
        <v>-0.23142682201763473</v>
      </c>
      <c r="B9">
        <v>-0.33111749606951185</v>
      </c>
    </row>
    <row r="10" spans="1:2" x14ac:dyDescent="0.35">
      <c r="A10">
        <v>0.2196033434025369</v>
      </c>
      <c r="B10">
        <v>0.16653902505388743</v>
      </c>
    </row>
    <row r="11" spans="1:2" x14ac:dyDescent="0.35">
      <c r="A11">
        <v>7.6912045899011957E-3</v>
      </c>
      <c r="B11">
        <v>-2.082817722714566E-2</v>
      </c>
    </row>
    <row r="12" spans="1:2" x14ac:dyDescent="0.35">
      <c r="A12">
        <v>1.1734680706003028E-2</v>
      </c>
      <c r="B12">
        <v>-7.9620119497838066E-2</v>
      </c>
    </row>
    <row r="13" spans="1:2" x14ac:dyDescent="0.35">
      <c r="A13">
        <v>0.10702914960307784</v>
      </c>
      <c r="B13">
        <v>3.4140571600658025E-2</v>
      </c>
    </row>
    <row r="14" spans="1:2" x14ac:dyDescent="0.35">
      <c r="A14">
        <v>-7.0201645791148626E-3</v>
      </c>
      <c r="B14">
        <v>-7.9855360231151556E-2</v>
      </c>
    </row>
    <row r="15" spans="1:2" x14ac:dyDescent="0.35">
      <c r="A15">
        <v>-0.34838169014984222</v>
      </c>
      <c r="B15">
        <v>-0.45944256762042546</v>
      </c>
    </row>
    <row r="16" spans="1:2" x14ac:dyDescent="0.35">
      <c r="A16">
        <v>0.29904690555640023</v>
      </c>
      <c r="B16">
        <v>0.13264944766642819</v>
      </c>
    </row>
    <row r="17" spans="1:2" x14ac:dyDescent="0.35">
      <c r="A17">
        <v>0.11212975071372047</v>
      </c>
      <c r="B17">
        <v>3.7950310966135027E-2</v>
      </c>
    </row>
    <row r="18" spans="1:2" x14ac:dyDescent="0.35">
      <c r="A18">
        <v>-6.4139842923593551E-2</v>
      </c>
      <c r="B18">
        <v>-0.10173153194829439</v>
      </c>
    </row>
    <row r="19" spans="1:2" x14ac:dyDescent="0.35">
      <c r="A19">
        <v>8.473603352863078E-2</v>
      </c>
      <c r="B19">
        <v>4.5734659186199379E-2</v>
      </c>
    </row>
    <row r="20" spans="1:2" x14ac:dyDescent="0.35">
      <c r="A20">
        <v>0.17900121011690789</v>
      </c>
      <c r="B20">
        <v>0.20856002872716567</v>
      </c>
    </row>
    <row r="21" spans="1:2" x14ac:dyDescent="0.35">
      <c r="A21">
        <v>4.1513969057901556E-2</v>
      </c>
      <c r="B21">
        <v>3.3381006017297918E-2</v>
      </c>
    </row>
    <row r="22" spans="1:2" x14ac:dyDescent="0.35">
      <c r="A22">
        <v>-5.1837918938693189E-2</v>
      </c>
      <c r="B22">
        <v>-8.6892994606964716E-2</v>
      </c>
    </row>
    <row r="23" spans="1:2" x14ac:dyDescent="0.35">
      <c r="A23">
        <v>2.6815122857189844E-2</v>
      </c>
      <c r="B23">
        <v>1.6737597494092427E-3</v>
      </c>
    </row>
    <row r="24" spans="1:2" x14ac:dyDescent="0.35">
      <c r="A24">
        <v>9.7967811927385864E-2</v>
      </c>
      <c r="B24">
        <v>9.7597319108945688E-2</v>
      </c>
    </row>
    <row r="25" spans="1:2" x14ac:dyDescent="0.35">
      <c r="A25">
        <v>-0.10383031637868891</v>
      </c>
      <c r="B25">
        <v>-0.15355967579221139</v>
      </c>
    </row>
    <row r="26" spans="1:2" x14ac:dyDescent="0.35">
      <c r="A26">
        <v>0.14249688285161605</v>
      </c>
      <c r="B26">
        <v>0.18946340075164142</v>
      </c>
    </row>
    <row r="27" spans="1:2" x14ac:dyDescent="0.35">
      <c r="A27">
        <v>7.2805001861274102E-2</v>
      </c>
      <c r="B27">
        <v>7.1033458523578161E-2</v>
      </c>
    </row>
    <row r="28" spans="1:2" x14ac:dyDescent="0.35">
      <c r="A28">
        <v>7.3616644144278848E-2</v>
      </c>
      <c r="B28">
        <v>0.10689548886562865</v>
      </c>
    </row>
    <row r="29" spans="1:2" x14ac:dyDescent="0.35">
      <c r="A29">
        <v>-0.1658591876200797</v>
      </c>
      <c r="B29">
        <v>-0.32340913743627214</v>
      </c>
    </row>
    <row r="30" spans="1:2" x14ac:dyDescent="0.35">
      <c r="A30">
        <v>0.1097395229722606</v>
      </c>
      <c r="B30">
        <v>0.12638067857677029</v>
      </c>
    </row>
    <row r="31" spans="1:2" x14ac:dyDescent="0.35">
      <c r="A31">
        <v>9.8995463664293237E-2</v>
      </c>
      <c r="B31">
        <v>0.1220239321096355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5E81-4F95-4D25-8A6C-882E892D67F9}">
  <dimension ref="A1:I18"/>
  <sheetViews>
    <sheetView workbookViewId="0">
      <selection activeCell="E11" sqref="E11"/>
    </sheetView>
  </sheetViews>
  <sheetFormatPr baseColWidth="10" defaultRowHeight="14.5" x14ac:dyDescent="0.35"/>
  <sheetData>
    <row r="1" spans="1:9" x14ac:dyDescent="0.35">
      <c r="A1" t="s">
        <v>12</v>
      </c>
    </row>
    <row r="2" spans="1:9" ht="15" thickBot="1" x14ac:dyDescent="0.4"/>
    <row r="3" spans="1:9" x14ac:dyDescent="0.35">
      <c r="A3" s="8" t="s">
        <v>13</v>
      </c>
      <c r="B3" s="8"/>
    </row>
    <row r="4" spans="1:9" x14ac:dyDescent="0.35">
      <c r="A4" t="s">
        <v>14</v>
      </c>
      <c r="B4">
        <v>0.77757549216566091</v>
      </c>
    </row>
    <row r="5" spans="1:9" x14ac:dyDescent="0.35">
      <c r="A5" t="s">
        <v>15</v>
      </c>
      <c r="B5">
        <v>0.60462364601666985</v>
      </c>
    </row>
    <row r="6" spans="1:9" x14ac:dyDescent="0.35">
      <c r="A6" t="s">
        <v>15</v>
      </c>
      <c r="B6">
        <v>0.59050306194583668</v>
      </c>
    </row>
    <row r="7" spans="1:9" x14ac:dyDescent="0.35">
      <c r="A7" t="s">
        <v>16</v>
      </c>
      <c r="B7">
        <v>9.2439597491877676E-2</v>
      </c>
    </row>
    <row r="8" spans="1:9" ht="15" thickBot="1" x14ac:dyDescent="0.4">
      <c r="A8" s="6" t="s">
        <v>17</v>
      </c>
      <c r="B8" s="6">
        <v>30</v>
      </c>
    </row>
    <row r="10" spans="1:9" ht="15" thickBot="1" x14ac:dyDescent="0.4">
      <c r="A10" t="s">
        <v>18</v>
      </c>
    </row>
    <row r="11" spans="1:9" x14ac:dyDescent="0.35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 x14ac:dyDescent="0.35">
      <c r="A12" t="s">
        <v>19</v>
      </c>
      <c r="B12">
        <v>1</v>
      </c>
      <c r="C12">
        <v>0.36588833054585601</v>
      </c>
      <c r="D12">
        <v>0.36588833054585601</v>
      </c>
      <c r="E12">
        <v>42.81860034851892</v>
      </c>
      <c r="F12">
        <v>4.2940032799260121E-7</v>
      </c>
    </row>
    <row r="13" spans="1:9" x14ac:dyDescent="0.35">
      <c r="A13" t="s">
        <v>20</v>
      </c>
      <c r="B13">
        <v>28</v>
      </c>
      <c r="C13">
        <v>0.23926221716489002</v>
      </c>
      <c r="D13">
        <v>8.5450791844603573E-3</v>
      </c>
    </row>
    <row r="14" spans="1:9" ht="15" thickBot="1" x14ac:dyDescent="0.4">
      <c r="A14" s="6" t="s">
        <v>21</v>
      </c>
      <c r="B14" s="6">
        <v>29</v>
      </c>
      <c r="C14" s="6">
        <v>0.60515054771074606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 x14ac:dyDescent="0.35">
      <c r="A17" t="s">
        <v>22</v>
      </c>
      <c r="B17">
        <v>3.5845558715959167E-2</v>
      </c>
      <c r="C17">
        <v>1.6885212233172808E-2</v>
      </c>
      <c r="D17">
        <v>2.1228965452703479</v>
      </c>
      <c r="E17">
        <v>4.2737801307391847E-2</v>
      </c>
      <c r="F17">
        <v>1.2577693867995565E-3</v>
      </c>
      <c r="G17">
        <v>7.0433348045118777E-2</v>
      </c>
      <c r="H17">
        <v>1.2577693867995565E-3</v>
      </c>
      <c r="I17">
        <v>7.0433348045118777E-2</v>
      </c>
    </row>
    <row r="18" spans="1:9" ht="15" thickBot="1" x14ac:dyDescent="0.4">
      <c r="A18" s="6" t="s">
        <v>35</v>
      </c>
      <c r="B18" s="6">
        <v>4.3662070078222407E-3</v>
      </c>
      <c r="C18" s="6">
        <v>6.6724924162371276E-4</v>
      </c>
      <c r="D18" s="6">
        <v>6.5435923122180348</v>
      </c>
      <c r="E18" s="6">
        <v>4.2940032799259735E-7</v>
      </c>
      <c r="F18" s="6">
        <v>2.9994088959227668E-3</v>
      </c>
      <c r="G18" s="6">
        <v>5.7330051197217145E-3</v>
      </c>
      <c r="H18" s="6">
        <v>2.9994088959227668E-3</v>
      </c>
      <c r="I18" s="6">
        <v>5.7330051197217145E-3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D229-FEE3-4D93-B947-7629EFDE13FB}">
  <dimension ref="A1:I18"/>
  <sheetViews>
    <sheetView workbookViewId="0">
      <selection sqref="A1:I21"/>
    </sheetView>
  </sheetViews>
  <sheetFormatPr baseColWidth="10" defaultRowHeight="14.5" x14ac:dyDescent="0.35"/>
  <sheetData>
    <row r="1" spans="1:9" x14ac:dyDescent="0.35">
      <c r="A1" t="s">
        <v>12</v>
      </c>
    </row>
    <row r="2" spans="1:9" ht="15" thickBot="1" x14ac:dyDescent="0.4"/>
    <row r="3" spans="1:9" x14ac:dyDescent="0.35">
      <c r="A3" s="8" t="s">
        <v>13</v>
      </c>
      <c r="B3" s="8"/>
    </row>
    <row r="4" spans="1:9" x14ac:dyDescent="0.35">
      <c r="A4" t="s">
        <v>14</v>
      </c>
      <c r="B4">
        <v>0.95419893920825472</v>
      </c>
    </row>
    <row r="5" spans="1:9" x14ac:dyDescent="0.35">
      <c r="A5" t="s">
        <v>15</v>
      </c>
      <c r="B5">
        <v>0.91049561558615855</v>
      </c>
    </row>
    <row r="6" spans="1:9" x14ac:dyDescent="0.35">
      <c r="A6" t="s">
        <v>15</v>
      </c>
      <c r="B6">
        <v>0.90729903042852134</v>
      </c>
    </row>
    <row r="7" spans="1:9" x14ac:dyDescent="0.35">
      <c r="A7" t="s">
        <v>16</v>
      </c>
      <c r="B7">
        <v>4.3981987892183654E-2</v>
      </c>
    </row>
    <row r="8" spans="1:9" ht="15" thickBot="1" x14ac:dyDescent="0.4">
      <c r="A8" s="6" t="s">
        <v>17</v>
      </c>
      <c r="B8" s="6">
        <v>30</v>
      </c>
    </row>
    <row r="10" spans="1:9" ht="15" thickBot="1" x14ac:dyDescent="0.4">
      <c r="A10" t="s">
        <v>18</v>
      </c>
    </row>
    <row r="11" spans="1:9" x14ac:dyDescent="0.35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 x14ac:dyDescent="0.35">
      <c r="A12" t="s">
        <v>19</v>
      </c>
      <c r="B12">
        <v>1</v>
      </c>
      <c r="C12">
        <v>0.55098692046019671</v>
      </c>
      <c r="D12">
        <v>0.55098692046019671</v>
      </c>
      <c r="E12">
        <v>284.83383694966716</v>
      </c>
      <c r="F12">
        <v>3.3056221007662096E-16</v>
      </c>
    </row>
    <row r="13" spans="1:9" x14ac:dyDescent="0.35">
      <c r="A13" t="s">
        <v>20</v>
      </c>
      <c r="B13">
        <v>28</v>
      </c>
      <c r="C13">
        <v>5.4163627250549302E-2</v>
      </c>
      <c r="D13">
        <v>1.9344152589481894E-3</v>
      </c>
    </row>
    <row r="14" spans="1:9" ht="15" thickBot="1" x14ac:dyDescent="0.4">
      <c r="A14" s="6" t="s">
        <v>21</v>
      </c>
      <c r="B14" s="6">
        <v>29</v>
      </c>
      <c r="C14" s="6">
        <v>0.60515054771074606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 x14ac:dyDescent="0.35">
      <c r="A17" t="s">
        <v>22</v>
      </c>
      <c r="B17">
        <v>3.6551070681274632E-2</v>
      </c>
      <c r="C17">
        <v>8.0315956083450053E-3</v>
      </c>
      <c r="D17">
        <v>4.5509102379727961</v>
      </c>
      <c r="E17">
        <v>9.4582890889299151E-5</v>
      </c>
      <c r="F17">
        <v>2.0099092877129403E-2</v>
      </c>
      <c r="G17">
        <v>5.3003048485419861E-2</v>
      </c>
      <c r="H17">
        <v>2.0099092877129403E-2</v>
      </c>
      <c r="I17">
        <v>5.3003048485419861E-2</v>
      </c>
    </row>
    <row r="18" spans="1:9" ht="15" thickBot="1" x14ac:dyDescent="0.4">
      <c r="A18" s="6" t="s">
        <v>35</v>
      </c>
      <c r="B18" s="6">
        <v>7.5891367371297034E-3</v>
      </c>
      <c r="C18" s="6">
        <v>4.4967276801496518E-4</v>
      </c>
      <c r="D18" s="6">
        <v>16.877020973787623</v>
      </c>
      <c r="E18" s="6">
        <v>3.3056221007661865E-16</v>
      </c>
      <c r="F18" s="6">
        <v>6.6680238276570127E-3</v>
      </c>
      <c r="G18" s="6">
        <v>8.5102496466023941E-3</v>
      </c>
      <c r="H18" s="6">
        <v>6.6680238276570127E-3</v>
      </c>
      <c r="I18" s="6">
        <v>8.5102496466023941E-3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46EE-B398-44A4-8A8F-C2C0E7BBE8F9}">
  <dimension ref="A1:I18"/>
  <sheetViews>
    <sheetView workbookViewId="0">
      <selection activeCell="G10" sqref="G10"/>
    </sheetView>
  </sheetViews>
  <sheetFormatPr baseColWidth="10" defaultRowHeight="14.5" x14ac:dyDescent="0.35"/>
  <sheetData>
    <row r="1" spans="1:9" x14ac:dyDescent="0.35">
      <c r="A1" t="s">
        <v>12</v>
      </c>
    </row>
    <row r="2" spans="1:9" ht="15" thickBot="1" x14ac:dyDescent="0.4"/>
    <row r="3" spans="1:9" x14ac:dyDescent="0.35">
      <c r="A3" s="8" t="s">
        <v>13</v>
      </c>
      <c r="B3" s="8"/>
    </row>
    <row r="4" spans="1:9" x14ac:dyDescent="0.35">
      <c r="A4" t="s">
        <v>14</v>
      </c>
      <c r="B4">
        <v>0.92485249733854491</v>
      </c>
    </row>
    <row r="5" spans="1:9" x14ac:dyDescent="0.35">
      <c r="A5" t="s">
        <v>15</v>
      </c>
      <c r="B5">
        <v>0.85535214183334329</v>
      </c>
    </row>
    <row r="6" spans="1:9" x14ac:dyDescent="0.35">
      <c r="A6" t="s">
        <v>15</v>
      </c>
      <c r="B6">
        <v>0.82086938321265368</v>
      </c>
    </row>
    <row r="7" spans="1:9" x14ac:dyDescent="0.35">
      <c r="A7" t="s">
        <v>16</v>
      </c>
      <c r="B7">
        <v>5.7001779716162763E-2</v>
      </c>
    </row>
    <row r="8" spans="1:9" ht="15" thickBot="1" x14ac:dyDescent="0.4">
      <c r="A8" s="6" t="s">
        <v>17</v>
      </c>
      <c r="B8" s="6">
        <v>30</v>
      </c>
    </row>
    <row r="10" spans="1:9" ht="15" thickBot="1" x14ac:dyDescent="0.4">
      <c r="A10" t="s">
        <v>18</v>
      </c>
    </row>
    <row r="11" spans="1:9" x14ac:dyDescent="0.35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 x14ac:dyDescent="0.35">
      <c r="A12" t="s">
        <v>19</v>
      </c>
      <c r="B12">
        <v>1</v>
      </c>
      <c r="C12">
        <v>0.55719571604299567</v>
      </c>
      <c r="D12">
        <v>0.55719571604299567</v>
      </c>
      <c r="E12">
        <v>171.4868953302269</v>
      </c>
      <c r="F12">
        <v>1.8467265121256496E-13</v>
      </c>
    </row>
    <row r="13" spans="1:9" x14ac:dyDescent="0.35">
      <c r="A13" t="s">
        <v>20</v>
      </c>
      <c r="B13">
        <v>29</v>
      </c>
      <c r="C13">
        <v>9.4226883833488387E-2</v>
      </c>
      <c r="D13">
        <v>3.2492028908099446E-3</v>
      </c>
    </row>
    <row r="14" spans="1:9" ht="15" thickBot="1" x14ac:dyDescent="0.4">
      <c r="A14" s="6" t="s">
        <v>21</v>
      </c>
      <c r="B14" s="6">
        <v>30</v>
      </c>
      <c r="C14" s="6">
        <v>0.6514225998764841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 x14ac:dyDescent="0.35">
      <c r="A17" t="s">
        <v>22</v>
      </c>
      <c r="B17">
        <v>0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</row>
    <row r="18" spans="1:9" ht="15" thickBot="1" x14ac:dyDescent="0.4">
      <c r="A18" s="6" t="s">
        <v>35</v>
      </c>
      <c r="B18" s="6">
        <v>7.6302367097104019E-3</v>
      </c>
      <c r="C18" s="6">
        <v>5.8266984453592184E-4</v>
      </c>
      <c r="D18" s="6">
        <v>13.095300505533531</v>
      </c>
      <c r="E18" s="6">
        <v>1.0546531672928333E-13</v>
      </c>
      <c r="F18" s="6">
        <v>6.4385430720886802E-3</v>
      </c>
      <c r="G18" s="6">
        <v>8.8219303473321235E-3</v>
      </c>
      <c r="H18" s="6">
        <v>6.4385430720886802E-3</v>
      </c>
      <c r="I18" s="6">
        <v>8.8219303473321235E-3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A2CC-B104-4D2A-808C-31A3064B5615}">
  <dimension ref="A1:I18"/>
  <sheetViews>
    <sheetView workbookViewId="0">
      <selection activeCell="B18" sqref="B18"/>
    </sheetView>
  </sheetViews>
  <sheetFormatPr baseColWidth="10" defaultRowHeight="14.5" x14ac:dyDescent="0.35"/>
  <sheetData>
    <row r="1" spans="1:9" x14ac:dyDescent="0.35">
      <c r="A1" t="s">
        <v>12</v>
      </c>
    </row>
    <row r="2" spans="1:9" ht="15" thickBot="1" x14ac:dyDescent="0.4"/>
    <row r="3" spans="1:9" x14ac:dyDescent="0.35">
      <c r="A3" s="8" t="s">
        <v>13</v>
      </c>
      <c r="B3" s="8"/>
    </row>
    <row r="4" spans="1:9" x14ac:dyDescent="0.35">
      <c r="A4" t="s">
        <v>14</v>
      </c>
      <c r="B4">
        <v>0.92485249733854502</v>
      </c>
    </row>
    <row r="5" spans="1:9" x14ac:dyDescent="0.35">
      <c r="A5" t="s">
        <v>15</v>
      </c>
      <c r="B5">
        <v>0.8553521418333434</v>
      </c>
    </row>
    <row r="6" spans="1:9" x14ac:dyDescent="0.35">
      <c r="A6" t="s">
        <v>15</v>
      </c>
      <c r="B6">
        <v>0.82086938321265379</v>
      </c>
    </row>
    <row r="7" spans="1:9" x14ac:dyDescent="0.35">
      <c r="A7" t="s">
        <v>16</v>
      </c>
      <c r="B7">
        <v>5.7001779716162755E-5</v>
      </c>
    </row>
    <row r="8" spans="1:9" ht="15" thickBot="1" x14ac:dyDescent="0.4">
      <c r="A8" s="6" t="s">
        <v>17</v>
      </c>
      <c r="B8" s="6">
        <v>30</v>
      </c>
    </row>
    <row r="10" spans="1:9" ht="15" thickBot="1" x14ac:dyDescent="0.4">
      <c r="A10" t="s">
        <v>18</v>
      </c>
    </row>
    <row r="11" spans="1:9" x14ac:dyDescent="0.35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 x14ac:dyDescent="0.35">
      <c r="A12" t="s">
        <v>19</v>
      </c>
      <c r="B12">
        <v>1</v>
      </c>
      <c r="C12">
        <v>5.5719571604299556E-7</v>
      </c>
      <c r="D12">
        <v>5.5719571604299556E-7</v>
      </c>
      <c r="E12">
        <v>171.4868953302269</v>
      </c>
      <c r="F12">
        <v>1.8467265121256496E-13</v>
      </c>
    </row>
    <row r="13" spans="1:9" x14ac:dyDescent="0.35">
      <c r="A13" t="s">
        <v>20</v>
      </c>
      <c r="B13">
        <v>29</v>
      </c>
      <c r="C13">
        <v>9.4226883833488374E-8</v>
      </c>
      <c r="D13">
        <v>3.249202890809944E-9</v>
      </c>
    </row>
    <row r="14" spans="1:9" ht="15" thickBot="1" x14ac:dyDescent="0.4">
      <c r="A14" s="6" t="s">
        <v>21</v>
      </c>
      <c r="B14" s="6">
        <v>30</v>
      </c>
      <c r="C14" s="6">
        <v>6.5142259987648391E-7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 x14ac:dyDescent="0.35">
      <c r="A17" t="s">
        <v>22</v>
      </c>
      <c r="B17">
        <v>0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</row>
    <row r="18" spans="1:9" ht="15" thickBot="1" x14ac:dyDescent="0.4">
      <c r="A18" s="6" t="s">
        <v>35</v>
      </c>
      <c r="B18" s="6">
        <v>7.6302367097104038E-4</v>
      </c>
      <c r="C18" s="6">
        <v>5.8266984453592167E-5</v>
      </c>
      <c r="D18" s="6">
        <v>13.09530050553354</v>
      </c>
      <c r="E18" s="6">
        <v>1.0546531672928183E-13</v>
      </c>
      <c r="F18" s="6">
        <v>6.4385430720886817E-4</v>
      </c>
      <c r="G18" s="6">
        <v>8.8219303473321259E-4</v>
      </c>
      <c r="H18" s="6">
        <v>6.4385430720886817E-4</v>
      </c>
      <c r="I18" s="6">
        <v>8.8219303473321259E-4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CE24-8A54-45BA-9914-F95CA9A9FFC7}">
  <dimension ref="A1:I18"/>
  <sheetViews>
    <sheetView topLeftCell="A12" workbookViewId="0">
      <selection activeCell="G11" sqref="G11"/>
    </sheetView>
  </sheetViews>
  <sheetFormatPr baseColWidth="10" defaultRowHeight="14.5" x14ac:dyDescent="0.35"/>
  <sheetData>
    <row r="1" spans="1:9" x14ac:dyDescent="0.35">
      <c r="A1" t="s">
        <v>12</v>
      </c>
    </row>
    <row r="2" spans="1:9" ht="15" thickBot="1" x14ac:dyDescent="0.4"/>
    <row r="3" spans="1:9" x14ac:dyDescent="0.35">
      <c r="A3" s="8" t="s">
        <v>13</v>
      </c>
      <c r="B3" s="8"/>
    </row>
    <row r="4" spans="1:9" x14ac:dyDescent="0.35">
      <c r="A4" t="s">
        <v>14</v>
      </c>
      <c r="B4">
        <v>0.92614222415982705</v>
      </c>
    </row>
    <row r="5" spans="1:9" x14ac:dyDescent="0.35">
      <c r="A5" t="s">
        <v>15</v>
      </c>
      <c r="B5">
        <v>0.85773941937171139</v>
      </c>
    </row>
    <row r="6" spans="1:9" x14ac:dyDescent="0.35">
      <c r="A6" t="s">
        <v>15</v>
      </c>
      <c r="B6">
        <v>0.82325666075102177</v>
      </c>
    </row>
    <row r="7" spans="1:9" x14ac:dyDescent="0.35">
      <c r="A7" t="s">
        <v>16</v>
      </c>
      <c r="B7">
        <v>5.6529442219814777E-2</v>
      </c>
    </row>
    <row r="8" spans="1:9" ht="15" thickBot="1" x14ac:dyDescent="0.4">
      <c r="A8" s="6" t="s">
        <v>17</v>
      </c>
      <c r="B8" s="6">
        <v>30</v>
      </c>
    </row>
    <row r="10" spans="1:9" ht="15" thickBot="1" x14ac:dyDescent="0.4">
      <c r="A10" t="s">
        <v>18</v>
      </c>
    </row>
    <row r="11" spans="1:9" x14ac:dyDescent="0.35">
      <c r="A11" s="7"/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</row>
    <row r="12" spans="1:9" x14ac:dyDescent="0.35">
      <c r="A12" t="s">
        <v>19</v>
      </c>
      <c r="B12">
        <v>1</v>
      </c>
      <c r="C12">
        <v>0.55875084258366614</v>
      </c>
      <c r="D12">
        <v>0.55875084258366614</v>
      </c>
      <c r="E12">
        <v>174.85126977496205</v>
      </c>
      <c r="F12">
        <v>1.4593944573899096E-13</v>
      </c>
    </row>
    <row r="13" spans="1:9" x14ac:dyDescent="0.35">
      <c r="A13" t="s">
        <v>20</v>
      </c>
      <c r="B13">
        <v>29</v>
      </c>
      <c r="C13">
        <v>9.2671757292817958E-2</v>
      </c>
      <c r="D13">
        <v>3.1955778376833778E-3</v>
      </c>
    </row>
    <row r="14" spans="1:9" ht="15" thickBot="1" x14ac:dyDescent="0.4">
      <c r="A14" s="6" t="s">
        <v>21</v>
      </c>
      <c r="B14" s="6">
        <v>30</v>
      </c>
      <c r="C14" s="6">
        <v>0.6514225998764841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28</v>
      </c>
      <c r="C16" s="7" t="s">
        <v>16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</row>
    <row r="17" spans="1:9" x14ac:dyDescent="0.35">
      <c r="A17" t="s">
        <v>22</v>
      </c>
      <c r="B17">
        <v>0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</row>
    <row r="18" spans="1:9" ht="15" thickBot="1" x14ac:dyDescent="0.4">
      <c r="A18" s="6" t="s">
        <v>35</v>
      </c>
      <c r="B18" s="6">
        <v>0.78161355277498656</v>
      </c>
      <c r="C18" s="6">
        <v>5.9109554474443195E-2</v>
      </c>
      <c r="D18" s="6">
        <v>13.223133886297987</v>
      </c>
      <c r="E18" s="6">
        <v>8.274679677495952E-14</v>
      </c>
      <c r="F18" s="6">
        <v>0.66072093983059754</v>
      </c>
      <c r="G18" s="6">
        <v>0.90250616571937559</v>
      </c>
      <c r="H18" s="6">
        <v>0.66072093983059754</v>
      </c>
      <c r="I18" s="6">
        <v>0.90250616571937559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FCD7-BBEA-43D7-ADC2-0DD853600002}">
  <dimension ref="A1:F81"/>
  <sheetViews>
    <sheetView tabSelected="1" workbookViewId="0">
      <selection activeCell="B34" sqref="B34"/>
    </sheetView>
  </sheetViews>
  <sheetFormatPr baseColWidth="10" defaultRowHeight="14.5" x14ac:dyDescent="0.35"/>
  <sheetData>
    <row r="1" spans="1:6" x14ac:dyDescent="0.35">
      <c r="A1" t="s">
        <v>10</v>
      </c>
      <c r="B1" t="s">
        <v>11</v>
      </c>
    </row>
    <row r="2" spans="1:6" x14ac:dyDescent="0.35">
      <c r="A2">
        <v>12.9607997765</v>
      </c>
      <c r="B2">
        <f>100*F2</f>
        <v>-1.3138355357956155</v>
      </c>
      <c r="F2">
        <v>-1.3138355357956155E-2</v>
      </c>
    </row>
    <row r="3" spans="1:6" x14ac:dyDescent="0.35">
      <c r="A3">
        <v>16.123671401300001</v>
      </c>
      <c r="B3">
        <f>100*F3</f>
        <v>33.7988358729244</v>
      </c>
      <c r="C3">
        <f>(A3-A2)/A2</f>
        <v>0.24403367688271771</v>
      </c>
      <c r="D3">
        <f t="shared" ref="D3:D32" si="0">0.01*(B3-$B$34)</f>
        <v>0.24464867757827879</v>
      </c>
      <c r="F3">
        <v>0.33798835872924399</v>
      </c>
    </row>
    <row r="4" spans="1:6" x14ac:dyDescent="0.35">
      <c r="A4">
        <v>17.728426260599999</v>
      </c>
      <c r="B4">
        <f t="shared" ref="B3:B32" si="1">100*F4</f>
        <v>18.735986610915447</v>
      </c>
      <c r="C4">
        <f t="shared" ref="C4:C32" si="2">(A4-A3)/A3</f>
        <v>9.9527881669097498E-2</v>
      </c>
      <c r="D4">
        <f t="shared" si="0"/>
        <v>9.4020184958189257E-2</v>
      </c>
      <c r="F4">
        <v>0.18735986610915445</v>
      </c>
    </row>
    <row r="5" spans="1:6" x14ac:dyDescent="0.35">
      <c r="A5">
        <v>20.768970259300001</v>
      </c>
      <c r="B5">
        <f t="shared" si="1"/>
        <v>30.87562643915296</v>
      </c>
      <c r="C5">
        <f t="shared" si="2"/>
        <v>0.17150670646143965</v>
      </c>
      <c r="D5">
        <f t="shared" si="0"/>
        <v>0.2154165832405644</v>
      </c>
      <c r="F5">
        <v>0.30875626439152959</v>
      </c>
    </row>
    <row r="6" spans="1:6" x14ac:dyDescent="0.35">
      <c r="A6">
        <v>22.897778429700001</v>
      </c>
      <c r="B6">
        <f t="shared" si="1"/>
        <v>26.302089891482773</v>
      </c>
      <c r="C6">
        <f t="shared" si="2"/>
        <v>0.10249945682534521</v>
      </c>
      <c r="D6">
        <f t="shared" si="0"/>
        <v>0.16968121776386252</v>
      </c>
      <c r="F6">
        <v>0.26302089891482772</v>
      </c>
    </row>
    <row r="7" spans="1:6" x14ac:dyDescent="0.35">
      <c r="A7">
        <v>25.847400653099999</v>
      </c>
      <c r="B7">
        <f t="shared" si="1"/>
        <v>17.724953967845302</v>
      </c>
      <c r="C7">
        <f t="shared" si="2"/>
        <v>0.12881696066960518</v>
      </c>
      <c r="D7">
        <f t="shared" si="0"/>
        <v>8.3909858527487807E-2</v>
      </c>
      <c r="F7">
        <v>0.17724953967845303</v>
      </c>
    </row>
    <row r="8" spans="1:6" x14ac:dyDescent="0.35">
      <c r="A8">
        <v>22.204202284200001</v>
      </c>
      <c r="B8">
        <f t="shared" si="1"/>
        <v>-12.011811714907628</v>
      </c>
      <c r="C8">
        <f t="shared" si="2"/>
        <v>-0.1409502803703804</v>
      </c>
      <c r="D8">
        <f t="shared" si="0"/>
        <v>-0.21345779830004147</v>
      </c>
      <c r="F8">
        <v>-0.12011811714907628</v>
      </c>
    </row>
    <row r="9" spans="1:6" x14ac:dyDescent="0.35">
      <c r="A9">
        <v>19.103197300800002</v>
      </c>
      <c r="B9">
        <f t="shared" si="1"/>
        <v>-13.196703258202003</v>
      </c>
      <c r="C9">
        <f t="shared" si="2"/>
        <v>-0.13965847291918265</v>
      </c>
      <c r="D9">
        <f t="shared" si="0"/>
        <v>-0.22530671373298525</v>
      </c>
      <c r="F9">
        <v>-0.13196703258202003</v>
      </c>
    </row>
    <row r="10" spans="1:6" x14ac:dyDescent="0.35">
      <c r="A10">
        <v>14.682205059099999</v>
      </c>
      <c r="B10">
        <f t="shared" si="1"/>
        <v>-23.777781491854665</v>
      </c>
      <c r="C10">
        <f t="shared" si="2"/>
        <v>-0.23142682201763473</v>
      </c>
      <c r="D10">
        <f t="shared" si="0"/>
        <v>-0.33111749606951185</v>
      </c>
      <c r="F10">
        <v>-0.23777781491854666</v>
      </c>
    </row>
    <row r="11" spans="1:6" x14ac:dyDescent="0.35">
      <c r="A11">
        <v>17.906466378600001</v>
      </c>
      <c r="B11">
        <f t="shared" si="1"/>
        <v>25.987870620485264</v>
      </c>
      <c r="C11">
        <f t="shared" si="2"/>
        <v>0.2196033434025369</v>
      </c>
      <c r="D11">
        <f t="shared" si="0"/>
        <v>0.16653902505388743</v>
      </c>
      <c r="F11">
        <v>0.25987870620485265</v>
      </c>
    </row>
    <row r="12" spans="1:6" x14ac:dyDescent="0.35">
      <c r="A12">
        <v>18.044188675000001</v>
      </c>
      <c r="B12">
        <f t="shared" si="1"/>
        <v>7.2511503923819554</v>
      </c>
      <c r="C12">
        <f t="shared" si="2"/>
        <v>7.6912045899011957E-3</v>
      </c>
      <c r="D12">
        <f t="shared" si="0"/>
        <v>-2.082817722714566E-2</v>
      </c>
      <c r="F12">
        <v>7.2511503923819554E-2</v>
      </c>
    </row>
    <row r="13" spans="1:6" x14ac:dyDescent="0.35">
      <c r="A13">
        <v>18.255931467700002</v>
      </c>
      <c r="B13">
        <f t="shared" si="1"/>
        <v>1.3719561653127155</v>
      </c>
      <c r="C13">
        <f t="shared" si="2"/>
        <v>1.1734680706003028E-2</v>
      </c>
      <c r="D13">
        <f t="shared" si="0"/>
        <v>-7.9620119497838066E-2</v>
      </c>
      <c r="F13">
        <v>1.3719561653127155E-2</v>
      </c>
    </row>
    <row r="14" spans="1:6" x14ac:dyDescent="0.35">
      <c r="A14">
        <v>20.209848287900002</v>
      </c>
      <c r="B14">
        <f t="shared" si="1"/>
        <v>12.748025275162323</v>
      </c>
      <c r="C14">
        <f t="shared" si="2"/>
        <v>0.10702914960307784</v>
      </c>
      <c r="D14">
        <f t="shared" si="0"/>
        <v>3.4140571600658025E-2</v>
      </c>
      <c r="F14">
        <v>0.12748025275162322</v>
      </c>
    </row>
    <row r="15" spans="1:6" x14ac:dyDescent="0.35">
      <c r="A15">
        <v>20.067971826800001</v>
      </c>
      <c r="B15">
        <f t="shared" si="1"/>
        <v>1.3484320919813664</v>
      </c>
      <c r="C15">
        <f t="shared" si="2"/>
        <v>-7.0201645791148626E-3</v>
      </c>
      <c r="D15">
        <f t="shared" si="0"/>
        <v>-7.9855360231151556E-2</v>
      </c>
      <c r="F15">
        <v>1.3484320919813664E-2</v>
      </c>
    </row>
    <row r="16" spans="1:6" x14ac:dyDescent="0.35">
      <c r="A16">
        <v>13.076657883899999</v>
      </c>
      <c r="B16">
        <f t="shared" si="1"/>
        <v>-36.610288646946017</v>
      </c>
      <c r="C16">
        <f t="shared" si="2"/>
        <v>-0.34838169014984222</v>
      </c>
      <c r="D16">
        <f t="shared" si="0"/>
        <v>-0.45944256762042546</v>
      </c>
      <c r="F16">
        <v>-0.36610288646946021</v>
      </c>
    </row>
    <row r="17" spans="1:6" x14ac:dyDescent="0.35">
      <c r="A17">
        <v>16.987191959099999</v>
      </c>
      <c r="B17">
        <f t="shared" si="1"/>
        <v>22.598912881739341</v>
      </c>
      <c r="C17">
        <f t="shared" si="2"/>
        <v>0.29904690555640023</v>
      </c>
      <c r="D17">
        <f t="shared" si="0"/>
        <v>0.13264944766642819</v>
      </c>
      <c r="F17">
        <v>0.22598912881739341</v>
      </c>
    </row>
    <row r="18" spans="1:6" x14ac:dyDescent="0.35">
      <c r="A18">
        <v>18.891961558799998</v>
      </c>
      <c r="B18">
        <f t="shared" si="1"/>
        <v>13.128999211710024</v>
      </c>
      <c r="C18">
        <f t="shared" si="2"/>
        <v>0.11212975071372047</v>
      </c>
      <c r="D18">
        <f t="shared" si="0"/>
        <v>3.7950310966135027E-2</v>
      </c>
      <c r="F18">
        <v>0.13128999211710024</v>
      </c>
    </row>
    <row r="19" spans="1:6" x14ac:dyDescent="0.35">
      <c r="A19">
        <v>17.680234111899999</v>
      </c>
      <c r="B19">
        <f t="shared" si="1"/>
        <v>-0.83918507973291812</v>
      </c>
      <c r="C19">
        <f t="shared" si="2"/>
        <v>-6.4139842923593551E-2</v>
      </c>
      <c r="D19">
        <f t="shared" si="0"/>
        <v>-0.10173153194829439</v>
      </c>
      <c r="F19">
        <v>-8.3918507973291812E-3</v>
      </c>
    </row>
    <row r="20" spans="1:6" x14ac:dyDescent="0.35">
      <c r="A20">
        <v>19.178387022399999</v>
      </c>
      <c r="B20">
        <f t="shared" si="1"/>
        <v>13.907434033716459</v>
      </c>
      <c r="C20">
        <f t="shared" si="2"/>
        <v>8.473603352863078E-2</v>
      </c>
      <c r="D20">
        <f t="shared" si="0"/>
        <v>4.5734659186199379E-2</v>
      </c>
      <c r="F20">
        <v>0.13907434033716459</v>
      </c>
    </row>
    <row r="21" spans="1:6" x14ac:dyDescent="0.35">
      <c r="A21">
        <v>22.611341507500001</v>
      </c>
      <c r="B21">
        <f t="shared" si="1"/>
        <v>30.189970987813087</v>
      </c>
      <c r="C21">
        <f t="shared" si="2"/>
        <v>0.17900121011690789</v>
      </c>
      <c r="D21">
        <f t="shared" si="0"/>
        <v>0.20856002872716567</v>
      </c>
      <c r="F21">
        <v>0.30189970987813086</v>
      </c>
    </row>
    <row r="22" spans="1:6" x14ac:dyDescent="0.35">
      <c r="A22">
        <v>23.550028039200001</v>
      </c>
      <c r="B22">
        <f t="shared" si="1"/>
        <v>12.672068716826313</v>
      </c>
      <c r="C22">
        <f t="shared" si="2"/>
        <v>4.1513969057901556E-2</v>
      </c>
      <c r="D22">
        <f t="shared" si="0"/>
        <v>3.3381006017297918E-2</v>
      </c>
      <c r="F22">
        <v>0.12672068716826312</v>
      </c>
    </row>
    <row r="23" spans="1:6" x14ac:dyDescent="0.35">
      <c r="A23">
        <v>22.329243594699999</v>
      </c>
      <c r="B23">
        <f t="shared" si="1"/>
        <v>0.64466865440004906</v>
      </c>
      <c r="C23">
        <f t="shared" si="2"/>
        <v>-5.1837918938693189E-2</v>
      </c>
      <c r="D23">
        <f t="shared" si="0"/>
        <v>-8.6892994606964716E-2</v>
      </c>
      <c r="F23">
        <v>6.4466865440004906E-3</v>
      </c>
    </row>
    <row r="24" spans="1:6" x14ac:dyDescent="0.35">
      <c r="A24">
        <v>22.928005004999999</v>
      </c>
      <c r="B24">
        <f t="shared" si="1"/>
        <v>9.5013440900374455</v>
      </c>
      <c r="C24">
        <f t="shared" si="2"/>
        <v>2.6815122857189844E-2</v>
      </c>
      <c r="D24">
        <f t="shared" si="0"/>
        <v>1.6737597494092427E-3</v>
      </c>
      <c r="F24">
        <v>9.5013440900374446E-2</v>
      </c>
    </row>
    <row r="25" spans="1:6" x14ac:dyDescent="0.35">
      <c r="A25">
        <v>25.174211487200001</v>
      </c>
      <c r="B25">
        <f t="shared" si="1"/>
        <v>19.09370002599109</v>
      </c>
      <c r="C25">
        <f t="shared" si="2"/>
        <v>9.7967811927385864E-2</v>
      </c>
      <c r="D25">
        <f t="shared" si="0"/>
        <v>9.7597319108945688E-2</v>
      </c>
      <c r="F25">
        <v>0.19093700025991089</v>
      </c>
    </row>
    <row r="26" spans="1:6" x14ac:dyDescent="0.35">
      <c r="A26">
        <v>22.5603651439</v>
      </c>
      <c r="B26">
        <f t="shared" si="1"/>
        <v>-6.0219994641246171</v>
      </c>
      <c r="C26">
        <f t="shared" si="2"/>
        <v>-0.10383031637868891</v>
      </c>
      <c r="D26">
        <f t="shared" si="0"/>
        <v>-0.15355967579221139</v>
      </c>
      <c r="F26">
        <v>-6.0219994641246166E-2</v>
      </c>
    </row>
    <row r="27" spans="1:6" x14ac:dyDescent="0.35">
      <c r="A27">
        <v>25.775146852900001</v>
      </c>
      <c r="B27">
        <f t="shared" si="1"/>
        <v>28.280308190260662</v>
      </c>
      <c r="C27">
        <f t="shared" si="2"/>
        <v>0.14249688285161605</v>
      </c>
      <c r="D27">
        <f t="shared" si="0"/>
        <v>0.18946340075164142</v>
      </c>
      <c r="F27">
        <v>0.28280308190260661</v>
      </c>
    </row>
    <row r="28" spans="1:6" x14ac:dyDescent="0.35">
      <c r="A28">
        <v>27.651706467499999</v>
      </c>
      <c r="B28">
        <f t="shared" si="1"/>
        <v>16.437313967454337</v>
      </c>
      <c r="C28">
        <f t="shared" si="2"/>
        <v>7.2805001861274102E-2</v>
      </c>
      <c r="D28">
        <f t="shared" si="0"/>
        <v>7.1033458523578161E-2</v>
      </c>
      <c r="F28">
        <v>0.16437313967454337</v>
      </c>
    </row>
    <row r="29" spans="1:6" x14ac:dyDescent="0.35">
      <c r="A29">
        <v>29.6873323025</v>
      </c>
      <c r="B29">
        <f t="shared" si="1"/>
        <v>20.023517001659386</v>
      </c>
      <c r="C29">
        <f t="shared" si="2"/>
        <v>7.3616644144278848E-2</v>
      </c>
      <c r="D29">
        <f t="shared" si="0"/>
        <v>0.10689548886562865</v>
      </c>
      <c r="F29">
        <v>0.20023517001659386</v>
      </c>
    </row>
    <row r="30" spans="1:6" x14ac:dyDescent="0.35">
      <c r="A30">
        <v>24.763415484199999</v>
      </c>
      <c r="B30">
        <f t="shared" si="1"/>
        <v>-23.006945628530694</v>
      </c>
      <c r="C30">
        <f t="shared" si="2"/>
        <v>-0.1658591876200797</v>
      </c>
      <c r="D30">
        <f t="shared" si="0"/>
        <v>-0.32340913743627214</v>
      </c>
      <c r="F30">
        <v>-0.23006945628530695</v>
      </c>
    </row>
    <row r="31" spans="1:6" x14ac:dyDescent="0.35">
      <c r="A31">
        <v>27.480940886599999</v>
      </c>
      <c r="B31">
        <f t="shared" si="1"/>
        <v>21.972035972773551</v>
      </c>
      <c r="C31">
        <f t="shared" si="2"/>
        <v>0.1097395229722606</v>
      </c>
      <c r="D31">
        <f t="shared" si="0"/>
        <v>0.12638067857677029</v>
      </c>
      <c r="F31">
        <v>0.21972035972773551</v>
      </c>
    </row>
    <row r="32" spans="1:6" x14ac:dyDescent="0.35">
      <c r="A32">
        <v>30.2014293716</v>
      </c>
      <c r="B32">
        <f t="shared" si="1"/>
        <v>21.536361326060071</v>
      </c>
      <c r="C32">
        <f t="shared" si="2"/>
        <v>9.8995463664293237E-2</v>
      </c>
      <c r="D32">
        <f t="shared" si="0"/>
        <v>0.1220239321096355</v>
      </c>
      <c r="F32">
        <v>0.21536361326060072</v>
      </c>
    </row>
    <row r="34" spans="2:2" x14ac:dyDescent="0.35">
      <c r="B34">
        <f>AVERAGE(B2:B32)</f>
        <v>9.3339681150965212</v>
      </c>
    </row>
    <row r="51" spans="1:2" x14ac:dyDescent="0.35">
      <c r="A51" t="s">
        <v>10</v>
      </c>
      <c r="B51" t="s">
        <v>11</v>
      </c>
    </row>
    <row r="52" spans="1:2" x14ac:dyDescent="0.35">
      <c r="A52">
        <v>1.4479693420599866</v>
      </c>
      <c r="B52">
        <v>9.4832137176637854E-2</v>
      </c>
    </row>
    <row r="53" spans="1:2" x14ac:dyDescent="0.35">
      <c r="A53">
        <v>-0.21482533753917821</v>
      </c>
      <c r="B53">
        <v>4.1206246613140873E-2</v>
      </c>
    </row>
    <row r="54" spans="1:2" x14ac:dyDescent="0.35">
      <c r="A54">
        <v>0.1642143744159712</v>
      </c>
      <c r="B54">
        <v>6.8744779122362321E-2</v>
      </c>
    </row>
    <row r="55" spans="1:2" x14ac:dyDescent="0.35">
      <c r="A55">
        <v>-6.750744240431561E-2</v>
      </c>
      <c r="B55">
        <v>4.2378384173605399E-2</v>
      </c>
    </row>
    <row r="56" spans="1:2" x14ac:dyDescent="0.35">
      <c r="A56">
        <v>-0.13252670166038905</v>
      </c>
      <c r="B56">
        <v>5.2623526144840005E-2</v>
      </c>
    </row>
    <row r="57" spans="1:2" x14ac:dyDescent="0.35">
      <c r="A57" t="e">
        <v>#NUM!</v>
      </c>
      <c r="B57">
        <v>-6.5981699572831065E-2</v>
      </c>
    </row>
    <row r="58" spans="1:2" x14ac:dyDescent="0.35">
      <c r="A58" t="e">
        <v>#NUM!</v>
      </c>
      <c r="B58">
        <v>-6.532911400875796E-2</v>
      </c>
    </row>
    <row r="59" spans="1:2" x14ac:dyDescent="0.35">
      <c r="A59" t="e">
        <v>#NUM!</v>
      </c>
      <c r="B59">
        <v>-0.11431477581430594</v>
      </c>
    </row>
    <row r="60" spans="1:2" x14ac:dyDescent="0.35">
      <c r="A60" t="e">
        <v>#NUM!</v>
      </c>
      <c r="B60">
        <v>8.6218606263433584E-2</v>
      </c>
    </row>
    <row r="61" spans="1:2" x14ac:dyDescent="0.35">
      <c r="A61">
        <v>-0.42152538728195266</v>
      </c>
      <c r="B61">
        <v>3.3274679344119651E-3</v>
      </c>
    </row>
    <row r="62" spans="1:2" x14ac:dyDescent="0.35">
      <c r="A62">
        <v>-0.34676697256979983</v>
      </c>
      <c r="B62">
        <v>5.0666371948435707E-3</v>
      </c>
    </row>
    <row r="63" spans="1:2" x14ac:dyDescent="0.35">
      <c r="A63">
        <v>0.50912451876984155</v>
      </c>
      <c r="B63">
        <v>4.4159056601481339E-2</v>
      </c>
    </row>
    <row r="64" spans="1:2" x14ac:dyDescent="0.35">
      <c r="A64">
        <v>-0.45431839560181519</v>
      </c>
      <c r="B64">
        <v>-3.0595706932969868E-3</v>
      </c>
    </row>
    <row r="65" spans="1:2" x14ac:dyDescent="0.35">
      <c r="A65" t="e">
        <v>#NUM!</v>
      </c>
      <c r="B65">
        <v>-0.18600672093325343</v>
      </c>
    </row>
    <row r="66" spans="1:2" x14ac:dyDescent="0.35">
      <c r="A66" t="e">
        <v>#NUM!</v>
      </c>
      <c r="B66">
        <v>0.1136248327177849</v>
      </c>
    </row>
    <row r="67" spans="1:2" x14ac:dyDescent="0.35">
      <c r="A67">
        <v>-0.24300995743222487</v>
      </c>
      <c r="B67">
        <v>4.6155458767372037E-2</v>
      </c>
    </row>
    <row r="68" spans="1:2" x14ac:dyDescent="0.35">
      <c r="A68">
        <v>-0.84899716297092698</v>
      </c>
      <c r="B68">
        <v>-2.8789041803993554E-2</v>
      </c>
    </row>
    <row r="69" spans="1:2" x14ac:dyDescent="0.35">
      <c r="A69">
        <v>0.87925684402805904</v>
      </c>
      <c r="B69">
        <v>3.5324067097635359E-2</v>
      </c>
    </row>
    <row r="70" spans="1:2" x14ac:dyDescent="0.35">
      <c r="A70">
        <v>0.30597469774599317</v>
      </c>
      <c r="B70">
        <v>7.1514250851514749E-2</v>
      </c>
    </row>
    <row r="71" spans="1:2" x14ac:dyDescent="0.35">
      <c r="A71">
        <v>-0.37599588782282534</v>
      </c>
      <c r="B71">
        <v>1.7665099194067002E-2</v>
      </c>
    </row>
    <row r="72" spans="1:2" x14ac:dyDescent="0.35">
      <c r="A72">
        <v>-0.99158856334237255</v>
      </c>
      <c r="B72">
        <v>-2.3117416993358342E-2</v>
      </c>
    </row>
    <row r="73" spans="1:2" x14ac:dyDescent="0.35">
      <c r="A73">
        <v>0.93135998848515722</v>
      </c>
      <c r="B73">
        <v>1.1492256303518689E-2</v>
      </c>
    </row>
    <row r="74" spans="1:2" x14ac:dyDescent="0.35">
      <c r="A74">
        <v>0.26367382072941514</v>
      </c>
      <c r="B74">
        <v>4.0589608504580044E-2</v>
      </c>
    </row>
    <row r="75" spans="1:2" x14ac:dyDescent="0.35">
      <c r="A75" t="e">
        <v>#NUM!</v>
      </c>
      <c r="B75">
        <v>-4.7609751851978688E-2</v>
      </c>
    </row>
    <row r="76" spans="1:2" x14ac:dyDescent="0.35">
      <c r="A76" t="e">
        <v>#NUM!</v>
      </c>
      <c r="B76">
        <v>5.7855023829687102E-2</v>
      </c>
    </row>
    <row r="77" spans="1:2" x14ac:dyDescent="0.35">
      <c r="A77">
        <v>-0.23848519953940084</v>
      </c>
      <c r="B77">
        <v>3.0520789709022278E-2</v>
      </c>
    </row>
    <row r="78" spans="1:2" x14ac:dyDescent="0.35">
      <c r="A78">
        <v>0.19853800484273521</v>
      </c>
      <c r="B78">
        <v>3.0849235690029619E-2</v>
      </c>
    </row>
    <row r="79" spans="1:2" x14ac:dyDescent="0.35">
      <c r="A79" t="e">
        <v>#NUM!</v>
      </c>
      <c r="B79">
        <v>-7.8760629365203005E-2</v>
      </c>
    </row>
    <row r="80" spans="1:2" x14ac:dyDescent="0.35">
      <c r="A80" t="e">
        <v>#NUM!</v>
      </c>
      <c r="B80">
        <v>4.5221053551594226E-2</v>
      </c>
    </row>
    <row r="81" spans="1:2" x14ac:dyDescent="0.35">
      <c r="A81">
        <v>-2.0159692478799895E-2</v>
      </c>
      <c r="B81">
        <v>4.0995899785063461E-2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7265625" defaultRowHeight="14.5" x14ac:dyDescent="0.35"/>
  <cols>
    <col min="1" max="1" width="85.7265625" style="1" customWidth="1"/>
    <col min="2" max="2" width="149.5429687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topLeftCell="A41" workbookViewId="0">
      <selection activeCell="C52" sqref="C52"/>
    </sheetView>
  </sheetViews>
  <sheetFormatPr baseColWidth="10" defaultColWidth="8.7265625" defaultRowHeight="14.5" x14ac:dyDescent="0.35"/>
  <cols>
    <col min="1" max="1" width="16.54296875" bestFit="1" customWidth="1"/>
    <col min="2" max="2" width="19" style="2" bestFit="1" customWidth="1"/>
    <col min="4" max="4" width="17.81640625" customWidth="1"/>
    <col min="5" max="5" width="15" customWidth="1"/>
    <col min="6" max="6" width="16.08984375" customWidth="1"/>
  </cols>
  <sheetData>
    <row r="1" spans="1:2" x14ac:dyDescent="0.35">
      <c r="A1" s="3" t="s">
        <v>9</v>
      </c>
      <c r="B1" s="3" t="s">
        <v>6</v>
      </c>
    </row>
    <row r="2" spans="1:2" x14ac:dyDescent="0.35">
      <c r="A2" s="4">
        <v>16438</v>
      </c>
      <c r="B2" s="2">
        <v>17.425696311199999</v>
      </c>
    </row>
    <row r="3" spans="1:2" x14ac:dyDescent="0.35">
      <c r="A3" s="4">
        <v>16803</v>
      </c>
      <c r="B3" s="2">
        <v>15.125762913100001</v>
      </c>
    </row>
    <row r="4" spans="1:2" x14ac:dyDescent="0.35">
      <c r="A4" s="4">
        <v>17168</v>
      </c>
      <c r="B4" s="2">
        <v>13.3465314398</v>
      </c>
    </row>
    <row r="5" spans="1:2" x14ac:dyDescent="0.35">
      <c r="A5" s="4">
        <v>17533</v>
      </c>
      <c r="B5" s="2">
        <v>12.517958807599999</v>
      </c>
    </row>
    <row r="6" spans="1:2" x14ac:dyDescent="0.35">
      <c r="A6" s="4">
        <v>17899</v>
      </c>
      <c r="B6" s="2">
        <v>12.7060733703</v>
      </c>
    </row>
    <row r="7" spans="1:2" x14ac:dyDescent="0.35">
      <c r="A7" s="4">
        <v>18264</v>
      </c>
      <c r="B7" s="2">
        <v>13.4262796491</v>
      </c>
    </row>
    <row r="8" spans="1:2" x14ac:dyDescent="0.35">
      <c r="A8" s="4">
        <v>18629</v>
      </c>
      <c r="B8" s="2">
        <v>13.7561239005</v>
      </c>
    </row>
    <row r="9" spans="1:2" x14ac:dyDescent="0.35">
      <c r="A9" s="4">
        <v>18994</v>
      </c>
      <c r="B9" s="2">
        <v>12.868035111599999</v>
      </c>
    </row>
    <row r="10" spans="1:2" x14ac:dyDescent="0.35">
      <c r="A10" s="4">
        <v>19360</v>
      </c>
      <c r="B10" s="2">
        <v>12.1300904008</v>
      </c>
    </row>
    <row r="11" spans="1:2" x14ac:dyDescent="0.35">
      <c r="A11" s="4">
        <v>19725</v>
      </c>
      <c r="B11" s="2">
        <v>14.2411725459</v>
      </c>
    </row>
    <row r="12" spans="1:2" x14ac:dyDescent="0.35">
      <c r="A12" s="4">
        <v>20090</v>
      </c>
      <c r="B12" s="2">
        <v>15.671340021900001</v>
      </c>
    </row>
    <row r="13" spans="1:2" x14ac:dyDescent="0.35">
      <c r="A13" s="4">
        <v>20455</v>
      </c>
      <c r="B13" s="2">
        <v>15.8831124243</v>
      </c>
    </row>
    <row r="14" spans="1:2" x14ac:dyDescent="0.35">
      <c r="A14" s="4">
        <v>20821</v>
      </c>
      <c r="B14" s="2">
        <v>14.130390498700001</v>
      </c>
    </row>
    <row r="15" spans="1:2" x14ac:dyDescent="0.35">
      <c r="A15" s="4">
        <v>21186</v>
      </c>
      <c r="B15" s="2">
        <v>16.515369893300001</v>
      </c>
    </row>
    <row r="16" spans="1:2" x14ac:dyDescent="0.35">
      <c r="A16" s="4">
        <v>21551</v>
      </c>
      <c r="B16" s="2">
        <v>17.165143470499999</v>
      </c>
    </row>
    <row r="17" spans="1:2" x14ac:dyDescent="0.35">
      <c r="A17" s="4">
        <v>21916</v>
      </c>
      <c r="B17" s="2">
        <v>16.536859572000001</v>
      </c>
    </row>
    <row r="18" spans="1:2" x14ac:dyDescent="0.35">
      <c r="A18" s="4">
        <v>22282</v>
      </c>
      <c r="B18" s="2">
        <v>18.7406029377</v>
      </c>
    </row>
    <row r="19" spans="1:2" x14ac:dyDescent="0.35">
      <c r="A19" s="4">
        <v>22647</v>
      </c>
      <c r="B19" s="2">
        <v>17.563456754200001</v>
      </c>
    </row>
    <row r="20" spans="1:2" x14ac:dyDescent="0.35">
      <c r="A20" s="4">
        <v>23012</v>
      </c>
      <c r="B20" s="2">
        <v>17.8475570793</v>
      </c>
    </row>
    <row r="21" spans="1:2" x14ac:dyDescent="0.35">
      <c r="A21" s="4">
        <v>23377</v>
      </c>
      <c r="B21" s="2">
        <v>19.216337767900001</v>
      </c>
    </row>
    <row r="22" spans="1:2" x14ac:dyDescent="0.35">
      <c r="A22" s="4">
        <v>23743</v>
      </c>
      <c r="B22" s="2">
        <v>20.278440854799999</v>
      </c>
    </row>
    <row r="23" spans="1:2" x14ac:dyDescent="0.35">
      <c r="A23" s="4">
        <v>24108</v>
      </c>
      <c r="B23" s="2">
        <v>17.333009185600002</v>
      </c>
    </row>
    <row r="24" spans="1:2" x14ac:dyDescent="0.35">
      <c r="A24" s="4">
        <v>24473</v>
      </c>
      <c r="B24" s="2">
        <v>19.7224600813</v>
      </c>
    </row>
    <row r="25" spans="1:2" x14ac:dyDescent="0.35">
      <c r="A25" s="4">
        <v>24838</v>
      </c>
      <c r="B25" s="2">
        <v>21.089186659900001</v>
      </c>
    </row>
    <row r="26" spans="1:2" x14ac:dyDescent="0.35">
      <c r="A26" s="4">
        <v>25204</v>
      </c>
      <c r="B26" s="2">
        <v>16.8079502973</v>
      </c>
    </row>
    <row r="27" spans="1:2" x14ac:dyDescent="0.35">
      <c r="A27" s="4">
        <v>25569</v>
      </c>
      <c r="B27" s="2">
        <v>15.5301348321</v>
      </c>
    </row>
    <row r="28" spans="1:2" x14ac:dyDescent="0.35">
      <c r="A28" s="4">
        <v>25934</v>
      </c>
      <c r="B28" s="2">
        <v>16.243909757099999</v>
      </c>
    </row>
    <row r="29" spans="1:2" x14ac:dyDescent="0.35">
      <c r="A29" s="4">
        <v>26299</v>
      </c>
      <c r="B29" s="2">
        <v>17.6670133758</v>
      </c>
    </row>
    <row r="30" spans="1:2" x14ac:dyDescent="0.35">
      <c r="A30" s="4">
        <v>26665</v>
      </c>
      <c r="B30" s="2">
        <v>12.4177925807</v>
      </c>
    </row>
    <row r="31" spans="1:2" x14ac:dyDescent="0.35">
      <c r="A31" s="4">
        <v>27030</v>
      </c>
      <c r="B31" s="2">
        <v>7.4318499848000004</v>
      </c>
    </row>
    <row r="32" spans="1:2" x14ac:dyDescent="0.35">
      <c r="A32" s="4">
        <v>27395</v>
      </c>
      <c r="B32" s="2">
        <v>8.9579317062000001</v>
      </c>
    </row>
    <row r="33" spans="1:2" x14ac:dyDescent="0.35">
      <c r="A33" s="4">
        <v>27760</v>
      </c>
      <c r="B33" s="2">
        <v>10.091723889500001</v>
      </c>
    </row>
    <row r="34" spans="1:2" x14ac:dyDescent="0.35">
      <c r="A34" s="4">
        <v>28126</v>
      </c>
      <c r="B34" s="2">
        <v>7.8182791658999999</v>
      </c>
    </row>
    <row r="35" spans="1:2" x14ac:dyDescent="0.35">
      <c r="A35" s="4">
        <v>28491</v>
      </c>
      <c r="B35" s="2">
        <v>7.1343001824999996</v>
      </c>
    </row>
    <row r="36" spans="1:2" x14ac:dyDescent="0.35">
      <c r="A36" s="4">
        <v>28856</v>
      </c>
      <c r="B36" s="2">
        <v>7.5032536052000003</v>
      </c>
    </row>
    <row r="37" spans="1:2" x14ac:dyDescent="0.35">
      <c r="A37" s="4">
        <v>29221</v>
      </c>
      <c r="B37" s="2">
        <v>8.6761651419000003</v>
      </c>
    </row>
    <row r="38" spans="1:2" x14ac:dyDescent="0.35">
      <c r="A38" s="4">
        <v>29587</v>
      </c>
      <c r="B38" s="2">
        <v>7.1674248883000002</v>
      </c>
    </row>
    <row r="39" spans="1:2" x14ac:dyDescent="0.35">
      <c r="A39" s="4">
        <v>29952</v>
      </c>
      <c r="B39" s="2">
        <v>7.2573448437000003</v>
      </c>
    </row>
    <row r="40" spans="1:2" x14ac:dyDescent="0.35">
      <c r="A40" s="4">
        <v>30317</v>
      </c>
      <c r="B40" s="2">
        <v>7.7045099069000003</v>
      </c>
    </row>
    <row r="41" spans="1:2" x14ac:dyDescent="0.35">
      <c r="A41" s="4">
        <v>30682</v>
      </c>
      <c r="B41" s="2">
        <v>6.6444519306999998</v>
      </c>
    </row>
    <row r="42" spans="1:2" x14ac:dyDescent="0.35">
      <c r="A42" s="4">
        <v>31048</v>
      </c>
      <c r="B42" s="2">
        <v>7.5465399183999997</v>
      </c>
    </row>
    <row r="43" spans="1:2" x14ac:dyDescent="0.35">
      <c r="A43" s="4">
        <v>31413</v>
      </c>
      <c r="B43" s="2">
        <v>8.1262876330000005</v>
      </c>
    </row>
    <row r="44" spans="1:2" x14ac:dyDescent="0.35">
      <c r="A44" s="4">
        <v>31778</v>
      </c>
      <c r="B44" s="2">
        <v>7.6163124383999996</v>
      </c>
    </row>
    <row r="45" spans="1:2" x14ac:dyDescent="0.35">
      <c r="A45" s="4">
        <v>32143</v>
      </c>
      <c r="B45" s="2">
        <v>8.4764371244000003</v>
      </c>
    </row>
    <row r="46" spans="1:2" x14ac:dyDescent="0.35">
      <c r="A46" s="4">
        <v>32509</v>
      </c>
      <c r="B46" s="2">
        <v>9.6409573945999991</v>
      </c>
    </row>
    <row r="47" spans="1:2" x14ac:dyDescent="0.35">
      <c r="A47" s="4">
        <v>32874</v>
      </c>
      <c r="B47" s="2">
        <v>8.5291755991000002</v>
      </c>
    </row>
    <row r="48" spans="1:2" x14ac:dyDescent="0.35">
      <c r="A48" s="4">
        <v>33239</v>
      </c>
      <c r="B48" s="2">
        <v>11.3205770046</v>
      </c>
    </row>
    <row r="49" spans="1:8" x14ac:dyDescent="0.35">
      <c r="A49" s="4">
        <v>33604</v>
      </c>
      <c r="B49" s="2">
        <v>12.410137542599999</v>
      </c>
    </row>
    <row r="50" spans="1:8" x14ac:dyDescent="0.35">
      <c r="A50" s="4">
        <v>33970</v>
      </c>
      <c r="B50" s="2">
        <v>13.5806371194</v>
      </c>
    </row>
    <row r="51" spans="1:8" ht="15.5" x14ac:dyDescent="0.35">
      <c r="A51" s="4">
        <v>34335</v>
      </c>
      <c r="B51" s="2">
        <v>12.9607997765</v>
      </c>
      <c r="C51" s="5">
        <v>1.3259206774573897E-2</v>
      </c>
      <c r="D51">
        <f>100*C51</f>
        <v>1.3259206774573897</v>
      </c>
      <c r="E51">
        <f>LOG(D51)</f>
        <v>0.12251754339531316</v>
      </c>
      <c r="F51" t="s">
        <v>10</v>
      </c>
      <c r="G51">
        <f>LOG(B51)</f>
        <v>1.112631801519437</v>
      </c>
      <c r="H51" t="s">
        <v>11</v>
      </c>
    </row>
    <row r="52" spans="1:8" x14ac:dyDescent="0.35">
      <c r="A52" s="4">
        <v>34700</v>
      </c>
      <c r="B52" s="2">
        <v>16.123671401300001</v>
      </c>
      <c r="C52">
        <v>0.37195198902606308</v>
      </c>
      <c r="D52" cm="1">
        <f t="array" ref="D52:D81">100*C52:C81</f>
        <v>37.195198902606307</v>
      </c>
      <c r="E52">
        <f t="shared" ref="E52:E81" si="0">LOG(D52)</f>
        <v>1.5704868854552998</v>
      </c>
      <c r="F52">
        <f>E52-E51</f>
        <v>1.4479693420599866</v>
      </c>
      <c r="G52">
        <f t="shared" ref="G52:G81" si="1">LOG(B52)</f>
        <v>1.2074639386960748</v>
      </c>
      <c r="H52">
        <f>G52-G51</f>
        <v>9.4832137176637854E-2</v>
      </c>
    </row>
    <row r="53" spans="1:8" x14ac:dyDescent="0.35">
      <c r="A53" s="4">
        <v>35065</v>
      </c>
      <c r="B53" s="2">
        <v>17.728426260599999</v>
      </c>
      <c r="C53">
        <v>0.22680966018865789</v>
      </c>
      <c r="D53">
        <v>22.680966018865789</v>
      </c>
      <c r="E53">
        <f t="shared" si="0"/>
        <v>1.3556615479161216</v>
      </c>
      <c r="F53">
        <f t="shared" ref="F53:F81" si="2">E53-E52</f>
        <v>-0.21482533753917821</v>
      </c>
      <c r="G53">
        <f t="shared" si="1"/>
        <v>1.2486701853092157</v>
      </c>
      <c r="H53">
        <f t="shared" ref="H53:H81" si="3">G53-G52</f>
        <v>4.1206246613140873E-2</v>
      </c>
    </row>
    <row r="54" spans="1:8" x14ac:dyDescent="0.35">
      <c r="A54" s="4">
        <v>35431</v>
      </c>
      <c r="B54" s="2">
        <v>20.768970259300001</v>
      </c>
      <c r="C54">
        <v>0.33103653103653097</v>
      </c>
      <c r="D54">
        <v>33.103653103653095</v>
      </c>
      <c r="E54">
        <f t="shared" si="0"/>
        <v>1.5198759223320928</v>
      </c>
      <c r="F54">
        <f t="shared" si="2"/>
        <v>0.1642143744159712</v>
      </c>
      <c r="G54">
        <f t="shared" si="1"/>
        <v>1.317414964431578</v>
      </c>
      <c r="H54">
        <f t="shared" si="3"/>
        <v>6.8744779122362321E-2</v>
      </c>
    </row>
    <row r="55" spans="1:8" x14ac:dyDescent="0.35">
      <c r="A55" s="4">
        <v>35796</v>
      </c>
      <c r="B55" s="2">
        <v>22.897778429700001</v>
      </c>
      <c r="C55">
        <v>0.28337953278443584</v>
      </c>
      <c r="D55">
        <v>28.337953278443585</v>
      </c>
      <c r="E55">
        <f t="shared" si="0"/>
        <v>1.4523684799277772</v>
      </c>
      <c r="F55">
        <f t="shared" si="2"/>
        <v>-6.750744240431561E-2</v>
      </c>
      <c r="G55">
        <f t="shared" si="1"/>
        <v>1.3597933486051834</v>
      </c>
      <c r="H55">
        <f t="shared" si="3"/>
        <v>4.2378384173605399E-2</v>
      </c>
    </row>
    <row r="56" spans="1:8" x14ac:dyDescent="0.35">
      <c r="A56" s="4">
        <v>36161</v>
      </c>
      <c r="B56" s="2">
        <v>25.847400653099999</v>
      </c>
      <c r="C56">
        <v>0.20885350992084475</v>
      </c>
      <c r="D56">
        <v>20.885350992084476</v>
      </c>
      <c r="E56">
        <f t="shared" si="0"/>
        <v>1.3198417782673881</v>
      </c>
      <c r="F56">
        <f t="shared" si="2"/>
        <v>-0.13252670166038905</v>
      </c>
      <c r="G56">
        <f t="shared" si="1"/>
        <v>1.4124168747500234</v>
      </c>
      <c r="H56">
        <f t="shared" si="3"/>
        <v>5.2623526144840005E-2</v>
      </c>
    </row>
    <row r="57" spans="1:8" x14ac:dyDescent="0.35">
      <c r="A57" s="4">
        <v>36526</v>
      </c>
      <c r="B57" s="2">
        <v>22.204202284200001</v>
      </c>
      <c r="C57">
        <v>-9.0318189552492781E-2</v>
      </c>
      <c r="D57">
        <v>-9.0318189552492782</v>
      </c>
      <c r="E57" t="e">
        <f>LOG(D57)</f>
        <v>#NUM!</v>
      </c>
      <c r="F57" t="e">
        <f t="shared" si="2"/>
        <v>#NUM!</v>
      </c>
      <c r="G57">
        <f t="shared" si="1"/>
        <v>1.3464351751771924</v>
      </c>
      <c r="H57">
        <f t="shared" si="3"/>
        <v>-6.5981699572831065E-2</v>
      </c>
    </row>
    <row r="58" spans="1:8" x14ac:dyDescent="0.35">
      <c r="A58" s="4">
        <v>36892</v>
      </c>
      <c r="B58" s="2">
        <v>19.103197300800002</v>
      </c>
      <c r="C58">
        <v>-0.11849759142000185</v>
      </c>
      <c r="D58">
        <v>-11.849759142000185</v>
      </c>
      <c r="E58" t="e">
        <f t="shared" si="0"/>
        <v>#NUM!</v>
      </c>
      <c r="F58" t="e">
        <f t="shared" si="2"/>
        <v>#NUM!</v>
      </c>
      <c r="G58">
        <f t="shared" si="1"/>
        <v>1.2811060611684344</v>
      </c>
      <c r="H58">
        <f t="shared" si="3"/>
        <v>-6.532911400875796E-2</v>
      </c>
    </row>
    <row r="59" spans="1:8" x14ac:dyDescent="0.35">
      <c r="A59" s="4">
        <v>37257</v>
      </c>
      <c r="B59" s="2">
        <v>14.682205059099999</v>
      </c>
      <c r="C59">
        <v>-0.21966047957912699</v>
      </c>
      <c r="D59">
        <v>-21.9660479579127</v>
      </c>
      <c r="E59" t="e">
        <f t="shared" si="0"/>
        <v>#NUM!</v>
      </c>
      <c r="F59" t="e">
        <f t="shared" si="2"/>
        <v>#NUM!</v>
      </c>
      <c r="G59">
        <f t="shared" si="1"/>
        <v>1.1667912853541285</v>
      </c>
      <c r="H59">
        <f t="shared" si="3"/>
        <v>-0.11431477581430594</v>
      </c>
    </row>
    <row r="60" spans="1:8" x14ac:dyDescent="0.35">
      <c r="A60" s="4">
        <v>37622</v>
      </c>
      <c r="B60" s="2">
        <v>17.906466378600001</v>
      </c>
      <c r="C60">
        <v>0.28355800050010233</v>
      </c>
      <c r="D60">
        <v>28.355800050010231</v>
      </c>
      <c r="E60">
        <f t="shared" si="0"/>
        <v>1.4526419052775612</v>
      </c>
      <c r="F60" t="e">
        <f t="shared" si="2"/>
        <v>#NUM!</v>
      </c>
      <c r="G60">
        <f t="shared" si="1"/>
        <v>1.253009891617562</v>
      </c>
      <c r="H60">
        <f t="shared" si="3"/>
        <v>8.6218606263433584E-2</v>
      </c>
    </row>
    <row r="61" spans="1:8" x14ac:dyDescent="0.35">
      <c r="A61" s="4">
        <v>37987</v>
      </c>
      <c r="B61" s="2">
        <v>18.044188675000001</v>
      </c>
      <c r="C61">
        <v>0.10742775944096193</v>
      </c>
      <c r="D61">
        <v>10.742775944096193</v>
      </c>
      <c r="E61">
        <f t="shared" si="0"/>
        <v>1.0311165179956086</v>
      </c>
      <c r="F61">
        <f t="shared" si="2"/>
        <v>-0.42152538728195266</v>
      </c>
      <c r="G61">
        <f t="shared" si="1"/>
        <v>1.256337359551974</v>
      </c>
      <c r="H61">
        <f t="shared" si="3"/>
        <v>3.3274679344119651E-3</v>
      </c>
    </row>
    <row r="62" spans="1:8" x14ac:dyDescent="0.35">
      <c r="A62" s="4">
        <v>38353</v>
      </c>
      <c r="B62" s="2">
        <v>18.255931467700002</v>
      </c>
      <c r="C62">
        <v>4.8344775232688535E-2</v>
      </c>
      <c r="D62">
        <v>4.8344775232688537</v>
      </c>
      <c r="E62">
        <f t="shared" si="0"/>
        <v>0.68434954542580873</v>
      </c>
      <c r="F62">
        <f t="shared" si="2"/>
        <v>-0.34676697256979983</v>
      </c>
      <c r="G62">
        <f t="shared" si="1"/>
        <v>1.2614039967468176</v>
      </c>
      <c r="H62">
        <f t="shared" si="3"/>
        <v>5.0666371948435707E-3</v>
      </c>
    </row>
    <row r="63" spans="1:8" x14ac:dyDescent="0.35">
      <c r="A63" s="4">
        <v>38718</v>
      </c>
      <c r="B63" s="2">
        <v>20.209848287900002</v>
      </c>
      <c r="C63">
        <v>0.15612557979315703</v>
      </c>
      <c r="D63">
        <v>15.612557979315703</v>
      </c>
      <c r="E63">
        <f t="shared" si="0"/>
        <v>1.1934740641956503</v>
      </c>
      <c r="F63">
        <f t="shared" si="2"/>
        <v>0.50912451876984155</v>
      </c>
      <c r="G63">
        <f t="shared" si="1"/>
        <v>1.3055630533482989</v>
      </c>
      <c r="H63">
        <f t="shared" si="3"/>
        <v>4.4159056601481339E-2</v>
      </c>
    </row>
    <row r="64" spans="1:8" x14ac:dyDescent="0.35">
      <c r="A64" s="4">
        <v>39083</v>
      </c>
      <c r="B64" s="2">
        <v>20.067971826800001</v>
      </c>
      <c r="C64">
        <v>5.4847352464217694E-2</v>
      </c>
      <c r="D64">
        <v>5.4847352464217698</v>
      </c>
      <c r="E64">
        <f t="shared" si="0"/>
        <v>0.73915566859383508</v>
      </c>
      <c r="F64">
        <f t="shared" si="2"/>
        <v>-0.45431839560181519</v>
      </c>
      <c r="G64">
        <f t="shared" si="1"/>
        <v>1.3025034826550019</v>
      </c>
      <c r="H64">
        <f t="shared" si="3"/>
        <v>-3.0595706932969868E-3</v>
      </c>
    </row>
    <row r="65" spans="1:8" x14ac:dyDescent="0.35">
      <c r="A65" s="4">
        <v>39448</v>
      </c>
      <c r="B65" s="2">
        <v>13.076657883899999</v>
      </c>
      <c r="C65">
        <v>-0.36552344111798191</v>
      </c>
      <c r="D65">
        <v>-36.552344111798192</v>
      </c>
      <c r="E65" t="e">
        <f t="shared" si="0"/>
        <v>#NUM!</v>
      </c>
      <c r="F65" t="e">
        <f t="shared" si="2"/>
        <v>#NUM!</v>
      </c>
      <c r="G65">
        <f t="shared" si="1"/>
        <v>1.1164967617217485</v>
      </c>
      <c r="H65">
        <f t="shared" si="3"/>
        <v>-0.18600672093325343</v>
      </c>
    </row>
    <row r="66" spans="1:8" x14ac:dyDescent="0.35">
      <c r="A66" s="4">
        <v>39814</v>
      </c>
      <c r="B66" s="2">
        <v>16.987191959099999</v>
      </c>
      <c r="C66">
        <v>0.25935233877663982</v>
      </c>
      <c r="D66">
        <v>25.935233877663983</v>
      </c>
      <c r="E66">
        <f t="shared" si="0"/>
        <v>1.4138901687098209</v>
      </c>
      <c r="F66" t="e">
        <f t="shared" si="2"/>
        <v>#NUM!</v>
      </c>
      <c r="G66">
        <f t="shared" si="1"/>
        <v>1.2301215944395334</v>
      </c>
      <c r="H66">
        <f t="shared" si="3"/>
        <v>0.1136248327177849</v>
      </c>
    </row>
    <row r="67" spans="1:8" x14ac:dyDescent="0.35">
      <c r="A67" s="4">
        <v>40179</v>
      </c>
      <c r="B67" s="2">
        <v>18.891961558799998</v>
      </c>
      <c r="C67">
        <v>0.14821092278719414</v>
      </c>
      <c r="D67">
        <v>14.821092278719414</v>
      </c>
      <c r="E67">
        <f t="shared" si="0"/>
        <v>1.170880211277596</v>
      </c>
      <c r="F67">
        <f t="shared" si="2"/>
        <v>-0.24300995743222487</v>
      </c>
      <c r="G67">
        <f t="shared" si="1"/>
        <v>1.2762770532069054</v>
      </c>
      <c r="H67">
        <f t="shared" si="3"/>
        <v>4.6155458767372037E-2</v>
      </c>
    </row>
    <row r="68" spans="1:8" x14ac:dyDescent="0.35">
      <c r="A68" s="4">
        <v>40544</v>
      </c>
      <c r="B68" s="2">
        <v>17.680234111899999</v>
      </c>
      <c r="C68">
        <v>2.09837473362805E-2</v>
      </c>
      <c r="D68">
        <v>2.09837473362805</v>
      </c>
      <c r="E68">
        <f t="shared" si="0"/>
        <v>0.32188304830666897</v>
      </c>
      <c r="F68">
        <f t="shared" si="2"/>
        <v>-0.84899716297092698</v>
      </c>
      <c r="G68">
        <f t="shared" si="1"/>
        <v>1.2474880114029119</v>
      </c>
      <c r="H68">
        <f t="shared" si="3"/>
        <v>-2.8789041803993554E-2</v>
      </c>
    </row>
    <row r="69" spans="1:8" x14ac:dyDescent="0.35">
      <c r="A69" s="4">
        <v>40909</v>
      </c>
      <c r="B69" s="2">
        <v>19.178387022399999</v>
      </c>
      <c r="C69">
        <v>0.15890585241730293</v>
      </c>
      <c r="D69">
        <v>15.890585241730292</v>
      </c>
      <c r="E69">
        <f t="shared" si="0"/>
        <v>1.2011398923347281</v>
      </c>
      <c r="F69">
        <f t="shared" si="2"/>
        <v>0.87925684402805904</v>
      </c>
      <c r="G69">
        <f t="shared" si="1"/>
        <v>1.2828120785005472</v>
      </c>
      <c r="H69">
        <f t="shared" si="3"/>
        <v>3.5324067097635359E-2</v>
      </c>
    </row>
    <row r="70" spans="1:8" x14ac:dyDescent="0.35">
      <c r="A70" s="4">
        <v>41275</v>
      </c>
      <c r="B70" s="2">
        <v>22.611341507500001</v>
      </c>
      <c r="C70">
        <v>0.32145085858125483</v>
      </c>
      <c r="D70">
        <v>32.145085858125483</v>
      </c>
      <c r="E70">
        <f t="shared" si="0"/>
        <v>1.5071145900807212</v>
      </c>
      <c r="F70">
        <f t="shared" si="2"/>
        <v>0.30597469774599317</v>
      </c>
      <c r="G70">
        <f t="shared" si="1"/>
        <v>1.354326329352062</v>
      </c>
      <c r="H70">
        <f t="shared" si="3"/>
        <v>7.1514250851514749E-2</v>
      </c>
    </row>
    <row r="71" spans="1:8" x14ac:dyDescent="0.35">
      <c r="A71" s="4">
        <v>41640</v>
      </c>
      <c r="B71" s="2">
        <v>23.550028039200001</v>
      </c>
      <c r="C71">
        <v>0.13524421649462237</v>
      </c>
      <c r="D71">
        <v>13.524421649462237</v>
      </c>
      <c r="E71">
        <f t="shared" si="0"/>
        <v>1.1311187022578959</v>
      </c>
      <c r="F71">
        <f t="shared" si="2"/>
        <v>-0.37599588782282534</v>
      </c>
      <c r="G71">
        <f t="shared" si="1"/>
        <v>1.371991428546129</v>
      </c>
      <c r="H71">
        <f t="shared" si="3"/>
        <v>1.7665099194067002E-2</v>
      </c>
    </row>
    <row r="72" spans="1:8" x14ac:dyDescent="0.35">
      <c r="A72" s="4">
        <v>42005</v>
      </c>
      <c r="B72" s="2">
        <v>22.329243594699999</v>
      </c>
      <c r="C72">
        <v>1.3788916411676138E-2</v>
      </c>
      <c r="D72">
        <v>1.3788916411676138</v>
      </c>
      <c r="E72">
        <f t="shared" si="0"/>
        <v>0.13953013891552338</v>
      </c>
      <c r="F72">
        <f t="shared" si="2"/>
        <v>-0.99158856334237255</v>
      </c>
      <c r="G72">
        <f t="shared" si="1"/>
        <v>1.3488740115527706</v>
      </c>
      <c r="H72">
        <f t="shared" si="3"/>
        <v>-2.3117416993358342E-2</v>
      </c>
    </row>
    <row r="73" spans="1:8" x14ac:dyDescent="0.35">
      <c r="A73" s="4">
        <v>42370</v>
      </c>
      <c r="B73" s="2">
        <v>22.928005004999999</v>
      </c>
      <c r="C73">
        <v>0.11773080874798171</v>
      </c>
      <c r="D73">
        <v>11.773080874798172</v>
      </c>
      <c r="E73">
        <f t="shared" si="0"/>
        <v>1.0708901274006806</v>
      </c>
      <c r="F73">
        <f t="shared" si="2"/>
        <v>0.93135998848515722</v>
      </c>
      <c r="G73">
        <f t="shared" si="1"/>
        <v>1.3603662678562893</v>
      </c>
      <c r="H73">
        <f t="shared" si="3"/>
        <v>1.1492256303518689E-2</v>
      </c>
    </row>
    <row r="74" spans="1:8" x14ac:dyDescent="0.35">
      <c r="A74" s="4">
        <v>42736</v>
      </c>
      <c r="B74" s="2">
        <v>25.174211487200001</v>
      </c>
      <c r="C74">
        <v>0.2160548143449928</v>
      </c>
      <c r="D74">
        <v>21.605481434499278</v>
      </c>
      <c r="E74">
        <f t="shared" si="0"/>
        <v>1.3345639481300957</v>
      </c>
      <c r="F74">
        <f t="shared" si="2"/>
        <v>0.26367382072941514</v>
      </c>
      <c r="G74">
        <f t="shared" si="1"/>
        <v>1.4009558763608694</v>
      </c>
      <c r="H74">
        <f t="shared" si="3"/>
        <v>4.0589608504580044E-2</v>
      </c>
    </row>
    <row r="75" spans="1:8" x14ac:dyDescent="0.35">
      <c r="A75" s="4">
        <v>43101</v>
      </c>
      <c r="B75" s="2">
        <v>22.5603651439</v>
      </c>
      <c r="C75">
        <v>-4.2268692890885438E-2</v>
      </c>
      <c r="D75">
        <v>-4.226869289088544</v>
      </c>
      <c r="E75" t="e">
        <f t="shared" si="0"/>
        <v>#NUM!</v>
      </c>
      <c r="F75" t="e">
        <f t="shared" si="2"/>
        <v>#NUM!</v>
      </c>
      <c r="G75">
        <f t="shared" si="1"/>
        <v>1.3533461245088907</v>
      </c>
      <c r="H75">
        <f t="shared" si="3"/>
        <v>-4.7609751851978688E-2</v>
      </c>
    </row>
    <row r="76" spans="1:8" x14ac:dyDescent="0.35">
      <c r="A76" s="4">
        <v>43466</v>
      </c>
      <c r="B76" s="2">
        <v>25.775146852900001</v>
      </c>
      <c r="C76">
        <v>0.31211679996808755</v>
      </c>
      <c r="D76">
        <v>31.211679996808755</v>
      </c>
      <c r="E76">
        <f t="shared" si="0"/>
        <v>1.4943171455864239</v>
      </c>
      <c r="F76" t="e">
        <f t="shared" si="2"/>
        <v>#NUM!</v>
      </c>
      <c r="G76">
        <f t="shared" si="1"/>
        <v>1.4112011483385778</v>
      </c>
      <c r="H76">
        <f t="shared" si="3"/>
        <v>5.7855023829687102E-2</v>
      </c>
    </row>
    <row r="77" spans="1:8" x14ac:dyDescent="0.35">
      <c r="A77" s="4">
        <v>43831</v>
      </c>
      <c r="B77" s="2">
        <v>27.651706467499999</v>
      </c>
      <c r="C77">
        <v>0.18023201827422478</v>
      </c>
      <c r="D77">
        <v>18.023201827422479</v>
      </c>
      <c r="E77">
        <f t="shared" si="0"/>
        <v>1.2558319460470231</v>
      </c>
      <c r="F77">
        <f t="shared" si="2"/>
        <v>-0.23848519953940084</v>
      </c>
      <c r="G77">
        <f t="shared" si="1"/>
        <v>1.4417219380476001</v>
      </c>
      <c r="H77">
        <f t="shared" si="3"/>
        <v>3.0520789709022278E-2</v>
      </c>
    </row>
    <row r="78" spans="1:8" x14ac:dyDescent="0.35">
      <c r="A78" s="4">
        <v>44197</v>
      </c>
      <c r="B78" s="2">
        <v>29.6873323025</v>
      </c>
      <c r="C78">
        <v>0.28468851751964158</v>
      </c>
      <c r="D78">
        <v>28.468851751964159</v>
      </c>
      <c r="E78">
        <f t="shared" si="0"/>
        <v>1.4543699508897583</v>
      </c>
      <c r="F78">
        <f t="shared" si="2"/>
        <v>0.19853800484273521</v>
      </c>
      <c r="G78">
        <f t="shared" si="1"/>
        <v>1.4725711737376297</v>
      </c>
      <c r="H78">
        <f t="shared" si="3"/>
        <v>3.0849235690029619E-2</v>
      </c>
    </row>
    <row r="79" spans="1:8" x14ac:dyDescent="0.35">
      <c r="A79" s="4">
        <v>44562</v>
      </c>
      <c r="B79" s="2">
        <v>24.763415484199999</v>
      </c>
      <c r="C79">
        <v>-0.18037505927178585</v>
      </c>
      <c r="D79">
        <v>-18.037505927178586</v>
      </c>
      <c r="E79" t="e">
        <f t="shared" si="0"/>
        <v>#NUM!</v>
      </c>
      <c r="F79" t="e">
        <f t="shared" si="2"/>
        <v>#NUM!</v>
      </c>
      <c r="G79">
        <f t="shared" si="1"/>
        <v>1.3938105443724267</v>
      </c>
      <c r="H79">
        <f t="shared" si="3"/>
        <v>-7.8760629365203005E-2</v>
      </c>
    </row>
    <row r="80" spans="1:8" x14ac:dyDescent="0.35">
      <c r="A80" s="4">
        <v>44927</v>
      </c>
      <c r="B80" s="2">
        <v>27.480940886599999</v>
      </c>
      <c r="C80">
        <v>0.26060684985024096</v>
      </c>
      <c r="D80">
        <v>26.060684985024096</v>
      </c>
      <c r="E80">
        <f t="shared" si="0"/>
        <v>1.4159858266224037</v>
      </c>
      <c r="F80" t="e">
        <f t="shared" si="2"/>
        <v>#NUM!</v>
      </c>
      <c r="G80">
        <f t="shared" si="1"/>
        <v>1.4390315979240209</v>
      </c>
      <c r="H80">
        <f t="shared" si="3"/>
        <v>4.5221053551594226E-2</v>
      </c>
    </row>
    <row r="81" spans="1:8" x14ac:dyDescent="0.35">
      <c r="A81" s="4">
        <v>45292</v>
      </c>
      <c r="B81" s="2">
        <v>30.2014293716</v>
      </c>
      <c r="C81">
        <v>0.24878611262526726</v>
      </c>
      <c r="D81">
        <v>24.878611262526725</v>
      </c>
      <c r="E81">
        <f t="shared" si="0"/>
        <v>1.3958261341436038</v>
      </c>
      <c r="F81">
        <f t="shared" si="2"/>
        <v>-2.0159692478799895E-2</v>
      </c>
      <c r="G81">
        <f t="shared" si="1"/>
        <v>1.4800274977090844</v>
      </c>
      <c r="H81">
        <f t="shared" si="3"/>
        <v>4.0995899785063461E-2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Data</vt:lpstr>
      <vt:lpstr>Feuil3</vt:lpstr>
      <vt:lpstr>Feuil4</vt:lpstr>
      <vt:lpstr>Feuil5</vt:lpstr>
      <vt:lpstr>Feuil6</vt:lpstr>
      <vt:lpstr>Feuil7</vt:lpstr>
      <vt:lpstr>Feuil1</vt:lpstr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 Daumas</cp:lastModifiedBy>
  <dcterms:created xsi:type="dcterms:W3CDTF">2025-07-01T14:07:38Z</dcterms:created>
  <dcterms:modified xsi:type="dcterms:W3CDTF">2026-09-25T08:03:37Z</dcterms:modified>
</cp:coreProperties>
</file>