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Travail\PhD\Papers\FASM\"/>
    </mc:Choice>
  </mc:AlternateContent>
  <xr:revisionPtr revIDLastSave="0" documentId="13_ncr:1_{933945AD-B2BB-42B6-9134-BC64F9DC81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issions" sheetId="1" r:id="rId1"/>
    <sheet name="CPrice" sheetId="4" r:id="rId2"/>
    <sheet name="Feuil3" sheetId="5" r:id="rId3"/>
    <sheet name="Feuil1" sheetId="3" r:id="rId4"/>
    <sheet name="README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4" l="1"/>
  <c r="O1" i="1"/>
  <c r="W19" i="4"/>
  <c r="U19" i="4"/>
  <c r="S19" i="4"/>
  <c r="Q19" i="4"/>
  <c r="O19" i="4"/>
  <c r="N19" i="4"/>
  <c r="M19" i="4"/>
  <c r="L19" i="4"/>
  <c r="K19" i="4"/>
  <c r="J19" i="4"/>
  <c r="I19" i="4"/>
  <c r="H19" i="4"/>
  <c r="G19" i="4"/>
  <c r="W18" i="4"/>
  <c r="U18" i="4"/>
  <c r="S18" i="4"/>
  <c r="Q18" i="4"/>
  <c r="O18" i="4"/>
  <c r="N18" i="4"/>
  <c r="M18" i="4"/>
  <c r="L18" i="4"/>
  <c r="K18" i="4"/>
  <c r="J18" i="4"/>
  <c r="I18" i="4"/>
  <c r="H18" i="4"/>
  <c r="G18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W16" i="4"/>
  <c r="U16" i="4"/>
  <c r="S16" i="4"/>
  <c r="Q16" i="4"/>
  <c r="O16" i="4"/>
  <c r="N16" i="4"/>
  <c r="M16" i="4"/>
  <c r="L16" i="4"/>
  <c r="K16" i="4"/>
  <c r="J16" i="4"/>
  <c r="I16" i="4"/>
  <c r="H16" i="4"/>
  <c r="G16" i="4"/>
  <c r="W15" i="4"/>
  <c r="U15" i="4"/>
  <c r="S15" i="4"/>
  <c r="Q15" i="4"/>
  <c r="O15" i="4"/>
  <c r="N15" i="4"/>
  <c r="M15" i="4"/>
  <c r="L15" i="4"/>
  <c r="K15" i="4"/>
  <c r="J15" i="4"/>
  <c r="I15" i="4"/>
  <c r="H15" i="4"/>
  <c r="G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W13" i="4"/>
  <c r="U13" i="4"/>
  <c r="S13" i="4"/>
  <c r="Q13" i="4"/>
  <c r="O13" i="4"/>
  <c r="N13" i="4"/>
  <c r="M13" i="4"/>
  <c r="L13" i="4"/>
  <c r="K13" i="4"/>
  <c r="J13" i="4"/>
  <c r="I13" i="4"/>
  <c r="H13" i="4"/>
  <c r="G13" i="4"/>
  <c r="W12" i="4"/>
  <c r="U12" i="4"/>
  <c r="S12" i="4"/>
  <c r="O12" i="4"/>
  <c r="N12" i="4"/>
  <c r="M12" i="4"/>
  <c r="L12" i="4"/>
  <c r="K12" i="4"/>
  <c r="J12" i="4"/>
  <c r="I12" i="4"/>
  <c r="H12" i="4"/>
  <c r="G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W10" i="4"/>
  <c r="U10" i="4"/>
  <c r="S10" i="4"/>
  <c r="Q10" i="4"/>
  <c r="O10" i="4"/>
  <c r="N10" i="4"/>
  <c r="M10" i="4"/>
  <c r="L10" i="4"/>
  <c r="K10" i="4"/>
  <c r="J10" i="4"/>
  <c r="I10" i="4"/>
  <c r="H10" i="4"/>
  <c r="G10" i="4"/>
  <c r="W9" i="4"/>
  <c r="U9" i="4"/>
  <c r="S9" i="4"/>
  <c r="Q9" i="4"/>
  <c r="O9" i="4"/>
  <c r="N9" i="4"/>
  <c r="M9" i="4"/>
  <c r="L9" i="4"/>
  <c r="K9" i="4"/>
  <c r="J9" i="4"/>
  <c r="I9" i="4"/>
  <c r="H9" i="4"/>
  <c r="G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W7" i="4"/>
  <c r="U7" i="4"/>
  <c r="S7" i="4"/>
  <c r="Q7" i="4"/>
  <c r="O7" i="4"/>
  <c r="N7" i="4"/>
  <c r="M7" i="4"/>
  <c r="L7" i="4"/>
  <c r="K7" i="4"/>
  <c r="J7" i="4"/>
  <c r="I7" i="4"/>
  <c r="H7" i="4"/>
  <c r="G7" i="4"/>
  <c r="W6" i="4"/>
  <c r="U6" i="4"/>
  <c r="S6" i="4"/>
  <c r="Q6" i="4"/>
  <c r="O6" i="4"/>
  <c r="N6" i="4"/>
  <c r="M6" i="4"/>
  <c r="L6" i="4"/>
  <c r="K6" i="4"/>
  <c r="J6" i="4"/>
  <c r="I6" i="4"/>
  <c r="H6" i="4"/>
  <c r="G6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W4" i="4"/>
  <c r="U4" i="4"/>
  <c r="S4" i="4"/>
  <c r="Q4" i="4"/>
  <c r="O4" i="4"/>
  <c r="N4" i="4"/>
  <c r="M4" i="4"/>
  <c r="L4" i="4"/>
  <c r="K4" i="4"/>
  <c r="J4" i="4"/>
  <c r="I4" i="4"/>
  <c r="H4" i="4"/>
  <c r="G4" i="4"/>
  <c r="W3" i="4"/>
  <c r="U3" i="4"/>
  <c r="S3" i="4"/>
  <c r="Q3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H3" i="4"/>
  <c r="I3" i="4"/>
  <c r="J3" i="4"/>
  <c r="K3" i="4"/>
  <c r="L3" i="4"/>
  <c r="M3" i="4"/>
  <c r="N3" i="4"/>
  <c r="O3" i="4"/>
  <c r="G3" i="4"/>
  <c r="AF9" i="1"/>
  <c r="AF3" i="1"/>
  <c r="AF15" i="1"/>
  <c r="AF18" i="1"/>
  <c r="AF6" i="1"/>
  <c r="AF12" i="1"/>
  <c r="AF10" i="1"/>
  <c r="AF4" i="1"/>
  <c r="AF16" i="1"/>
  <c r="AF19" i="1"/>
  <c r="AF7" i="1"/>
  <c r="AF13" i="1"/>
  <c r="AD9" i="1"/>
  <c r="AD3" i="1"/>
  <c r="AD15" i="1"/>
  <c r="AD18" i="1"/>
  <c r="AD6" i="1"/>
  <c r="AD12" i="1"/>
  <c r="AD10" i="1"/>
  <c r="AD4" i="1"/>
  <c r="AD16" i="1"/>
  <c r="AD19" i="1"/>
  <c r="AD7" i="1"/>
  <c r="AD13" i="1"/>
  <c r="AB9" i="1"/>
  <c r="AB3" i="1"/>
  <c r="AB15" i="1"/>
  <c r="AB18" i="1"/>
  <c r="AB6" i="1"/>
  <c r="AB12" i="1"/>
  <c r="AB10" i="1"/>
  <c r="AB4" i="1"/>
  <c r="AB16" i="1"/>
  <c r="AB19" i="1"/>
  <c r="AB7" i="1"/>
  <c r="AB13" i="1"/>
  <c r="Z9" i="1"/>
  <c r="Z3" i="1"/>
  <c r="Z15" i="1"/>
  <c r="Z18" i="1"/>
  <c r="Z6" i="1"/>
  <c r="Z12" i="1"/>
  <c r="Z10" i="1"/>
  <c r="Z4" i="1"/>
  <c r="Z16" i="1"/>
  <c r="Z19" i="1"/>
  <c r="Z7" i="1"/>
  <c r="Z13" i="1"/>
  <c r="Y8" i="1"/>
  <c r="Z8" i="1"/>
  <c r="AA8" i="1"/>
  <c r="AB8" i="1"/>
  <c r="AC8" i="1"/>
  <c r="AD8" i="1"/>
  <c r="AE8" i="1"/>
  <c r="AF8" i="1"/>
  <c r="Y2" i="1"/>
  <c r="Z2" i="1"/>
  <c r="AA2" i="1"/>
  <c r="AB2" i="1"/>
  <c r="AC2" i="1"/>
  <c r="AD2" i="1"/>
  <c r="AE2" i="1"/>
  <c r="AF2" i="1"/>
  <c r="Y14" i="1"/>
  <c r="Z14" i="1"/>
  <c r="AA14" i="1"/>
  <c r="AB14" i="1"/>
  <c r="AC14" i="1"/>
  <c r="AD14" i="1"/>
  <c r="AE14" i="1"/>
  <c r="AF14" i="1"/>
  <c r="Y17" i="1"/>
  <c r="Z17" i="1"/>
  <c r="AA17" i="1"/>
  <c r="AB17" i="1"/>
  <c r="AC17" i="1"/>
  <c r="AD17" i="1"/>
  <c r="AE17" i="1"/>
  <c r="AF17" i="1"/>
  <c r="Y5" i="1"/>
  <c r="Z5" i="1"/>
  <c r="AA5" i="1"/>
  <c r="AB5" i="1"/>
  <c r="AC5" i="1"/>
  <c r="AD5" i="1"/>
  <c r="AE5" i="1"/>
  <c r="AF5" i="1"/>
  <c r="Y11" i="1"/>
  <c r="Z11" i="1"/>
  <c r="AA11" i="1"/>
  <c r="AB11" i="1"/>
  <c r="AC11" i="1"/>
  <c r="AD11" i="1"/>
  <c r="AE11" i="1"/>
  <c r="AF11" i="1"/>
  <c r="Q8" i="1"/>
  <c r="R8" i="1"/>
  <c r="S8" i="1"/>
  <c r="T8" i="1"/>
  <c r="U8" i="1"/>
  <c r="V8" i="1"/>
  <c r="W8" i="1"/>
  <c r="X8" i="1"/>
  <c r="Q2" i="1"/>
  <c r="R2" i="1"/>
  <c r="S2" i="1"/>
  <c r="T2" i="1"/>
  <c r="U2" i="1"/>
  <c r="V2" i="1"/>
  <c r="W2" i="1"/>
  <c r="X2" i="1"/>
  <c r="Q14" i="1"/>
  <c r="R14" i="1"/>
  <c r="S14" i="1"/>
  <c r="T14" i="1"/>
  <c r="U14" i="1"/>
  <c r="V14" i="1"/>
  <c r="W14" i="1"/>
  <c r="X14" i="1"/>
  <c r="Q17" i="1"/>
  <c r="R17" i="1"/>
  <c r="S17" i="1"/>
  <c r="T17" i="1"/>
  <c r="U17" i="1"/>
  <c r="V17" i="1"/>
  <c r="W17" i="1"/>
  <c r="X17" i="1"/>
  <c r="Q5" i="1"/>
  <c r="R5" i="1"/>
  <c r="S5" i="1"/>
  <c r="T5" i="1"/>
  <c r="U5" i="1"/>
  <c r="V5" i="1"/>
  <c r="W5" i="1"/>
  <c r="X5" i="1"/>
  <c r="Q11" i="1"/>
  <c r="R11" i="1"/>
  <c r="S11" i="1"/>
  <c r="T11" i="1"/>
  <c r="U11" i="1"/>
  <c r="V11" i="1"/>
  <c r="W11" i="1"/>
  <c r="X11" i="1"/>
  <c r="Q9" i="1"/>
  <c r="R9" i="1"/>
  <c r="S9" i="1"/>
  <c r="T9" i="1"/>
  <c r="U9" i="1"/>
  <c r="V9" i="1"/>
  <c r="W9" i="1"/>
  <c r="X9" i="1"/>
  <c r="Q3" i="1"/>
  <c r="R3" i="1"/>
  <c r="S3" i="1"/>
  <c r="T3" i="1"/>
  <c r="U3" i="1"/>
  <c r="V3" i="1"/>
  <c r="W3" i="1"/>
  <c r="X3" i="1"/>
  <c r="Q15" i="1"/>
  <c r="R15" i="1"/>
  <c r="S15" i="1"/>
  <c r="T15" i="1"/>
  <c r="U15" i="1"/>
  <c r="V15" i="1"/>
  <c r="W15" i="1"/>
  <c r="X15" i="1"/>
  <c r="Q18" i="1"/>
  <c r="R18" i="1"/>
  <c r="S18" i="1"/>
  <c r="T18" i="1"/>
  <c r="U18" i="1"/>
  <c r="V18" i="1"/>
  <c r="W18" i="1"/>
  <c r="X18" i="1"/>
  <c r="Q6" i="1"/>
  <c r="R6" i="1"/>
  <c r="S6" i="1"/>
  <c r="T6" i="1"/>
  <c r="U6" i="1"/>
  <c r="V6" i="1"/>
  <c r="W6" i="1"/>
  <c r="X6" i="1"/>
  <c r="Q12" i="1"/>
  <c r="R12" i="1"/>
  <c r="S12" i="1"/>
  <c r="T12" i="1"/>
  <c r="U12" i="1"/>
  <c r="V12" i="1"/>
  <c r="W12" i="1"/>
  <c r="X12" i="1"/>
  <c r="Q10" i="1"/>
  <c r="R10" i="1"/>
  <c r="S10" i="1"/>
  <c r="T10" i="1"/>
  <c r="U10" i="1"/>
  <c r="V10" i="1"/>
  <c r="W10" i="1"/>
  <c r="X10" i="1"/>
  <c r="Q4" i="1"/>
  <c r="R4" i="1"/>
  <c r="S4" i="1"/>
  <c r="T4" i="1"/>
  <c r="U4" i="1"/>
  <c r="V4" i="1"/>
  <c r="W4" i="1"/>
  <c r="X4" i="1"/>
  <c r="Q16" i="1"/>
  <c r="R16" i="1"/>
  <c r="S16" i="1"/>
  <c r="T16" i="1"/>
  <c r="U16" i="1"/>
  <c r="V16" i="1"/>
  <c r="W16" i="1"/>
  <c r="X16" i="1"/>
  <c r="Q19" i="1"/>
  <c r="R19" i="1"/>
  <c r="S19" i="1"/>
  <c r="T19" i="1"/>
  <c r="U19" i="1"/>
  <c r="V19" i="1"/>
  <c r="W19" i="1"/>
  <c r="X19" i="1"/>
  <c r="Q7" i="1"/>
  <c r="R7" i="1"/>
  <c r="S7" i="1"/>
  <c r="T7" i="1"/>
  <c r="U7" i="1"/>
  <c r="V7" i="1"/>
  <c r="W7" i="1"/>
  <c r="X7" i="1"/>
  <c r="Q13" i="1"/>
  <c r="R13" i="1"/>
  <c r="S13" i="1"/>
  <c r="T13" i="1"/>
  <c r="U13" i="1"/>
  <c r="V13" i="1"/>
  <c r="W13" i="1"/>
  <c r="X13" i="1"/>
  <c r="P2" i="1"/>
  <c r="P14" i="1"/>
  <c r="P17" i="1"/>
  <c r="P5" i="1"/>
  <c r="P11" i="1"/>
  <c r="P9" i="1"/>
  <c r="P3" i="1"/>
  <c r="P15" i="1"/>
  <c r="P18" i="1"/>
  <c r="P6" i="1"/>
  <c r="P12" i="1"/>
  <c r="P10" i="1"/>
  <c r="P4" i="1"/>
  <c r="P16" i="1"/>
  <c r="P19" i="1"/>
  <c r="P7" i="1"/>
  <c r="P13" i="1"/>
  <c r="P8" i="1"/>
</calcChain>
</file>

<file path=xl/sharedStrings.xml><?xml version="1.0" encoding="utf-8"?>
<sst xmlns="http://schemas.openxmlformats.org/spreadsheetml/2006/main" count="872" uniqueCount="66">
  <si>
    <t>Model</t>
  </si>
  <si>
    <t>Scenario</t>
  </si>
  <si>
    <t>Region</t>
  </si>
  <si>
    <t>Variable</t>
  </si>
  <si>
    <t>Unit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</si>
  <si>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</si>
  <si>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</si>
  <si>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</si>
  <si>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</si>
  <si>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</si>
  <si>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</si>
  <si>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</si>
  <si>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</si>
  <si>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</si>
  <si>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</si>
  <si>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</si>
  <si>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</si>
  <si>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</si>
  <si>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</si>
  <si>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</si>
  <si>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</si>
  <si>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</si>
  <si>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GCAM 5.3+ NGFS</t>
  </si>
  <si>
    <t>Delayed transition</t>
  </si>
  <si>
    <t>World</t>
  </si>
  <si>
    <t>Price|Carbon</t>
  </si>
  <si>
    <t>US$2010/t CO2</t>
  </si>
  <si>
    <t/>
  </si>
  <si>
    <t>Emissions|CO2</t>
  </si>
  <si>
    <t>Mt CO2/yr</t>
  </si>
  <si>
    <t>Divergent Net Zero</t>
  </si>
  <si>
    <t>Current Policies</t>
  </si>
  <si>
    <t>Nationally Determined Contributions (NDCs)</t>
  </si>
  <si>
    <t>Net Zero 2050</t>
  </si>
  <si>
    <t>Below 2?C</t>
  </si>
  <si>
    <t>REMIND-MAgPIE 3.0-4.4</t>
  </si>
  <si>
    <t>REMIND-MAgPIE 3.0-4.4 IntegratedPhysicalDamages (95th-high)</t>
  </si>
  <si>
    <t>REMIND-MAgPIE 3.0-4.4 IntegratedPhysicalDamages (median)</t>
  </si>
  <si>
    <t>MESSAGEix-GLOBIOM 1.1-M-R12</t>
  </si>
  <si>
    <t>© NGFS Scenario Explorer https://data.ece.iiasa.ac.at/ngfs</t>
  </si>
  <si>
    <t>NGFS Scenario Explorer and Data hosted by IIASA</t>
  </si>
  <si>
    <t>Below 2°C</t>
  </si>
  <si>
    <t>Position</t>
  </si>
  <si>
    <t>Type</t>
  </si>
  <si>
    <t>Position2</t>
  </si>
  <si>
    <t>Index</t>
  </si>
  <si>
    <t>Code</t>
  </si>
  <si>
    <t>Linestyle</t>
  </si>
  <si>
    <t>Delayed</t>
  </si>
  <si>
    <t>Color</t>
  </si>
  <si>
    <t>Baseline</t>
  </si>
  <si>
    <t>NT</t>
  </si>
  <si>
    <t>solid</t>
  </si>
  <si>
    <t>black</t>
  </si>
  <si>
    <t>dashed</t>
  </si>
  <si>
    <t>dotted</t>
  </si>
  <si>
    <t>grey</t>
  </si>
  <si>
    <t>Ord</t>
  </si>
  <si>
    <t>royalblue</t>
  </si>
  <si>
    <t>limegreen</t>
  </si>
  <si>
    <t>Dis</t>
  </si>
  <si>
    <t>orange</t>
  </si>
  <si>
    <t>mediumseagreen</t>
  </si>
  <si>
    <t>GCAM2022</t>
  </si>
  <si>
    <t>MESSAGE2022</t>
  </si>
  <si>
    <t>REMIND2022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</si>
</sst>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6F0F4C40-90AE-4236-9E12-178C36283D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"/>
  <sheetViews>
    <sheetView tabSelected="1" topLeftCell="L1" workbookViewId="0">
      <selection activeCell="R10" sqref="R10"/>
    </sheetView>
  </sheetViews>
  <sheetFormatPr baseColWidth="10" defaultRowHeight="15.75" x14ac:dyDescent="0.25"/>
  <cols>
    <col min="1" max="1" width="32.75" customWidth="1"/>
    <col min="15" max="15" width="1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4</v>
      </c>
      <c r="O1">
        <f>P1-5</f>
        <v>2015</v>
      </c>
      <c r="P1">
        <v>2020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</row>
    <row r="2" spans="1:32" x14ac:dyDescent="0.25">
      <c r="A2" t="s">
        <v>63</v>
      </c>
      <c r="B2" t="s">
        <v>31</v>
      </c>
      <c r="C2" t="s">
        <v>24</v>
      </c>
      <c r="D2" t="s">
        <v>28</v>
      </c>
      <c r="E2">
        <v>11</v>
      </c>
      <c r="F2" t="s">
        <v>51</v>
      </c>
      <c r="G2">
        <v>35</v>
      </c>
      <c r="H2">
        <v>35</v>
      </c>
      <c r="I2">
        <v>1</v>
      </c>
      <c r="J2" t="s">
        <v>52</v>
      </c>
      <c r="K2">
        <v>0</v>
      </c>
      <c r="L2" t="s">
        <v>53</v>
      </c>
      <c r="M2">
        <v>1</v>
      </c>
      <c r="N2" t="s">
        <v>29</v>
      </c>
      <c r="O2">
        <v>40.088073780000002</v>
      </c>
      <c r="P2">
        <f>Feuil3!F3/1000</f>
        <v>38.537706079520405</v>
      </c>
      <c r="Q2">
        <f>Feuil3!G3/1000</f>
        <v>39.061772658113902</v>
      </c>
      <c r="R2">
        <f>Feuil3!H3/1000</f>
        <v>38.568909052972401</v>
      </c>
      <c r="S2">
        <f>Feuil3!I3/1000</f>
        <v>37.659127632732698</v>
      </c>
      <c r="T2">
        <f>Feuil3!J3/1000</f>
        <v>36.220929172191198</v>
      </c>
      <c r="U2">
        <f>Feuil3!K3/1000</f>
        <v>35.140151329489498</v>
      </c>
      <c r="V2">
        <f>Feuil3!L3/1000</f>
        <v>34.318722372829704</v>
      </c>
      <c r="W2">
        <f>Feuil3!M3/1000</f>
        <v>36.438577877837503</v>
      </c>
      <c r="X2">
        <f>Feuil3!N3/1000</f>
        <v>38.730035513588803</v>
      </c>
      <c r="Y2">
        <f>Feuil3!O3/1000</f>
        <v>38.804805430482794</v>
      </c>
      <c r="Z2">
        <f>Feuil3!P3/1000</f>
        <v>38.909156170854402</v>
      </c>
      <c r="AA2">
        <f>Feuil3!Q3/1000</f>
        <v>39.075010560662399</v>
      </c>
      <c r="AB2">
        <f>Feuil3!R3/1000</f>
        <v>39.220632775707806</v>
      </c>
      <c r="AC2">
        <f>Feuil3!S3/1000</f>
        <v>39.278401101058201</v>
      </c>
      <c r="AD2">
        <f>Feuil3!T3/1000</f>
        <v>39.409541970821898</v>
      </c>
      <c r="AE2">
        <f>Feuil3!U3/1000</f>
        <v>39.542217558305303</v>
      </c>
      <c r="AF2">
        <f>Feuil3!V3/1000</f>
        <v>39.305830304831801</v>
      </c>
    </row>
    <row r="3" spans="1:32" x14ac:dyDescent="0.25">
      <c r="A3" t="s">
        <v>64</v>
      </c>
      <c r="B3" t="s">
        <v>31</v>
      </c>
      <c r="C3" t="s">
        <v>24</v>
      </c>
      <c r="D3" t="s">
        <v>28</v>
      </c>
      <c r="E3">
        <v>11</v>
      </c>
      <c r="F3" t="s">
        <v>51</v>
      </c>
      <c r="G3">
        <v>35</v>
      </c>
      <c r="H3">
        <v>35</v>
      </c>
      <c r="I3">
        <v>1</v>
      </c>
      <c r="J3" t="s">
        <v>54</v>
      </c>
      <c r="K3">
        <v>0</v>
      </c>
      <c r="L3" t="s">
        <v>53</v>
      </c>
      <c r="M3">
        <v>1</v>
      </c>
      <c r="N3" t="s">
        <v>29</v>
      </c>
      <c r="O3">
        <v>43.281865512491535</v>
      </c>
      <c r="P3">
        <f>Feuil3!F9/1000</f>
        <v>41.341829628429636</v>
      </c>
      <c r="Q3">
        <f>Feuil3!G9/1000</f>
        <v>42.693483731043905</v>
      </c>
      <c r="R3">
        <f>Feuil3!H9/1000</f>
        <v>44.317293867127198</v>
      </c>
      <c r="S3">
        <f>Feuil3!I9/1000</f>
        <v>44.601773774351585</v>
      </c>
      <c r="T3">
        <f>Feuil3!J9/1000</f>
        <v>44.587565647390804</v>
      </c>
      <c r="U3">
        <f>Feuil3!K9/1000</f>
        <v>45.55197456056132</v>
      </c>
      <c r="V3">
        <f>Feuil3!L9/1000</f>
        <v>46.300714971363242</v>
      </c>
      <c r="W3">
        <f>Feuil3!M9/1000</f>
        <v>46.725418591603415</v>
      </c>
      <c r="X3">
        <f>Feuil3!N9/1000</f>
        <v>48.027969757324477</v>
      </c>
      <c r="Y3" t="s">
        <v>27</v>
      </c>
      <c r="Z3">
        <f>Feuil3!P9/1000</f>
        <v>49.652560814335928</v>
      </c>
      <c r="AA3" t="s">
        <v>27</v>
      </c>
      <c r="AB3">
        <f>Feuil3!R9/1000</f>
        <v>57.37443413680586</v>
      </c>
      <c r="AC3" t="s">
        <v>27</v>
      </c>
      <c r="AD3">
        <f>Feuil3!T9/1000</f>
        <v>64.467616555299017</v>
      </c>
      <c r="AE3" t="s">
        <v>27</v>
      </c>
      <c r="AF3">
        <f>Feuil3!V9/1000</f>
        <v>71.241988982534195</v>
      </c>
    </row>
    <row r="4" spans="1:32" x14ac:dyDescent="0.25">
      <c r="A4" t="s">
        <v>65</v>
      </c>
      <c r="B4" t="s">
        <v>31</v>
      </c>
      <c r="C4" t="s">
        <v>24</v>
      </c>
      <c r="D4" t="s">
        <v>28</v>
      </c>
      <c r="E4">
        <v>11</v>
      </c>
      <c r="F4" t="s">
        <v>51</v>
      </c>
      <c r="G4">
        <v>35</v>
      </c>
      <c r="H4">
        <v>35</v>
      </c>
      <c r="I4">
        <v>1</v>
      </c>
      <c r="J4" t="s">
        <v>55</v>
      </c>
      <c r="K4">
        <v>0</v>
      </c>
      <c r="L4" t="s">
        <v>53</v>
      </c>
      <c r="M4">
        <v>1</v>
      </c>
      <c r="N4" t="s">
        <v>29</v>
      </c>
      <c r="O4">
        <v>39.2836128</v>
      </c>
      <c r="P4">
        <f>Feuil3!F15/1000</f>
        <v>42.508356600000006</v>
      </c>
      <c r="Q4">
        <f>Feuil3!G15/1000</f>
        <v>41.673560599999995</v>
      </c>
      <c r="R4">
        <f>Feuil3!H15/1000</f>
        <v>41.798737800000005</v>
      </c>
      <c r="S4">
        <f>Feuil3!I15/1000</f>
        <v>41.753327399999989</v>
      </c>
      <c r="T4">
        <f>Feuil3!J15/1000</f>
        <v>42.266700099999987</v>
      </c>
      <c r="U4">
        <f>Feuil3!K15/1000</f>
        <v>43.520907000000001</v>
      </c>
      <c r="V4">
        <f>Feuil3!L15/1000</f>
        <v>45.14446139999999</v>
      </c>
      <c r="W4">
        <f>Feuil3!M15/1000</f>
        <v>45.58302359999999</v>
      </c>
      <c r="X4">
        <f>Feuil3!N15/1000</f>
        <v>45.977711899999989</v>
      </c>
      <c r="Y4" t="s">
        <v>27</v>
      </c>
      <c r="Z4">
        <f>Feuil3!P15/1000</f>
        <v>46.188936099999999</v>
      </c>
      <c r="AA4" t="s">
        <v>27</v>
      </c>
      <c r="AB4">
        <f>Feuil3!R15/1000</f>
        <v>45.562326999999996</v>
      </c>
      <c r="AC4" t="s">
        <v>27</v>
      </c>
      <c r="AD4">
        <f>Feuil3!T15/1000</f>
        <v>43.890706799999997</v>
      </c>
      <c r="AE4" t="s">
        <v>27</v>
      </c>
      <c r="AF4">
        <f>Feuil3!V15/1000</f>
        <v>41.655512900000005</v>
      </c>
    </row>
    <row r="5" spans="1:32" x14ac:dyDescent="0.25">
      <c r="A5" t="s">
        <v>63</v>
      </c>
      <c r="B5" t="s">
        <v>32</v>
      </c>
      <c r="C5" t="s">
        <v>24</v>
      </c>
      <c r="D5" t="s">
        <v>28</v>
      </c>
      <c r="E5">
        <v>12</v>
      </c>
      <c r="F5" t="s">
        <v>51</v>
      </c>
      <c r="G5">
        <v>35</v>
      </c>
      <c r="H5">
        <v>35</v>
      </c>
      <c r="I5">
        <v>2</v>
      </c>
      <c r="J5" t="s">
        <v>52</v>
      </c>
      <c r="K5">
        <v>0</v>
      </c>
      <c r="L5" t="s">
        <v>56</v>
      </c>
      <c r="M5">
        <v>0</v>
      </c>
      <c r="N5" t="s">
        <v>29</v>
      </c>
      <c r="O5">
        <v>40.088073780000002</v>
      </c>
      <c r="P5">
        <f>Feuil3!F6/1000</f>
        <v>38.708623977933904</v>
      </c>
      <c r="Q5">
        <f>Feuil3!G6/1000</f>
        <v>36.542448775559102</v>
      </c>
      <c r="R5">
        <f>Feuil3!H6/1000</f>
        <v>35.154725274598995</v>
      </c>
      <c r="S5">
        <f>Feuil3!I6/1000</f>
        <v>33.773841214049099</v>
      </c>
      <c r="T5">
        <f>Feuil3!J6/1000</f>
        <v>31.011899651856702</v>
      </c>
      <c r="U5">
        <f>Feuil3!K6/1000</f>
        <v>28.715989668734402</v>
      </c>
      <c r="V5">
        <f>Feuil3!L6/1000</f>
        <v>26.673756897457501</v>
      </c>
      <c r="W5">
        <f>Feuil3!M6/1000</f>
        <v>25.706808365405799</v>
      </c>
      <c r="X5">
        <f>Feuil3!N6/1000</f>
        <v>24.269470953682401</v>
      </c>
      <c r="Y5">
        <f>Feuil3!O6/1000</f>
        <v>23.034898487279101</v>
      </c>
      <c r="Z5">
        <f>Feuil3!P6/1000</f>
        <v>21.492904302141103</v>
      </c>
      <c r="AA5">
        <f>Feuil3!Q6/1000</f>
        <v>19.968390324407999</v>
      </c>
      <c r="AB5">
        <f>Feuil3!R6/1000</f>
        <v>18.6547841858645</v>
      </c>
      <c r="AC5">
        <f>Feuil3!S6/1000</f>
        <v>17.442118472578699</v>
      </c>
      <c r="AD5">
        <f>Feuil3!T6/1000</f>
        <v>16.4941415859555</v>
      </c>
      <c r="AE5">
        <f>Feuil3!U6/1000</f>
        <v>15.642440902352099</v>
      </c>
      <c r="AF5">
        <f>Feuil3!V6/1000</f>
        <v>14.735332824896998</v>
      </c>
    </row>
    <row r="6" spans="1:32" x14ac:dyDescent="0.25">
      <c r="A6" t="s">
        <v>64</v>
      </c>
      <c r="B6" t="s">
        <v>32</v>
      </c>
      <c r="C6" t="s">
        <v>24</v>
      </c>
      <c r="D6" t="s">
        <v>28</v>
      </c>
      <c r="E6">
        <v>12</v>
      </c>
      <c r="F6" t="s">
        <v>51</v>
      </c>
      <c r="G6">
        <v>35</v>
      </c>
      <c r="H6">
        <v>35</v>
      </c>
      <c r="I6">
        <v>2</v>
      </c>
      <c r="J6" t="s">
        <v>54</v>
      </c>
      <c r="K6">
        <v>0</v>
      </c>
      <c r="L6" t="s">
        <v>56</v>
      </c>
      <c r="M6">
        <v>0</v>
      </c>
      <c r="N6" t="s">
        <v>29</v>
      </c>
      <c r="O6">
        <v>43.281865512491535</v>
      </c>
      <c r="P6">
        <f>Feuil3!F12/1000</f>
        <v>41.341829628429636</v>
      </c>
      <c r="Q6">
        <f>Feuil3!G12/1000</f>
        <v>40.68974772801581</v>
      </c>
      <c r="R6">
        <f>Feuil3!H12/1000</f>
        <v>40.438207087027045</v>
      </c>
      <c r="S6">
        <f>Feuil3!I12/1000</f>
        <v>38.4997770702156</v>
      </c>
      <c r="T6">
        <f>Feuil3!J12/1000</f>
        <v>36.537915684214809</v>
      </c>
      <c r="U6">
        <f>Feuil3!K12/1000</f>
        <v>34.595595433664954</v>
      </c>
      <c r="V6">
        <f>Feuil3!L12/1000</f>
        <v>33.016916001384274</v>
      </c>
      <c r="W6">
        <f>Feuil3!M12/1000</f>
        <v>31.084386234527759</v>
      </c>
      <c r="X6">
        <f>Feuil3!N12/1000</f>
        <v>30.147987198644749</v>
      </c>
      <c r="Y6" t="s">
        <v>27</v>
      </c>
      <c r="Z6">
        <f>Feuil3!P12/1000</f>
        <v>28.749206109912052</v>
      </c>
      <c r="AA6" t="s">
        <v>27</v>
      </c>
      <c r="AB6">
        <f>Feuil3!R12/1000</f>
        <v>26.790688578707361</v>
      </c>
      <c r="AC6" t="s">
        <v>27</v>
      </c>
      <c r="AD6">
        <f>Feuil3!T12/1000</f>
        <v>23.689208681898421</v>
      </c>
      <c r="AE6" t="s">
        <v>27</v>
      </c>
      <c r="AF6">
        <f>Feuil3!V12/1000</f>
        <v>24.482796992737999</v>
      </c>
    </row>
    <row r="7" spans="1:32" x14ac:dyDescent="0.25">
      <c r="A7" t="s">
        <v>65</v>
      </c>
      <c r="B7" t="s">
        <v>32</v>
      </c>
      <c r="C7" t="s">
        <v>24</v>
      </c>
      <c r="D7" t="s">
        <v>28</v>
      </c>
      <c r="E7">
        <v>12</v>
      </c>
      <c r="F7" t="s">
        <v>51</v>
      </c>
      <c r="G7">
        <v>35</v>
      </c>
      <c r="H7">
        <v>35</v>
      </c>
      <c r="I7">
        <v>2</v>
      </c>
      <c r="J7" t="s">
        <v>55</v>
      </c>
      <c r="K7">
        <v>0</v>
      </c>
      <c r="L7" t="s">
        <v>56</v>
      </c>
      <c r="M7">
        <v>0</v>
      </c>
      <c r="N7" t="s">
        <v>29</v>
      </c>
      <c r="O7">
        <v>39.2836128</v>
      </c>
      <c r="P7">
        <f>Feuil3!F18/1000</f>
        <v>42.508356600000006</v>
      </c>
      <c r="Q7">
        <f>Feuil3!G18/1000</f>
        <v>39.61827139999999</v>
      </c>
      <c r="R7">
        <f>Feuil3!H18/1000</f>
        <v>38.033132999999985</v>
      </c>
      <c r="S7">
        <f>Feuil3!I18/1000</f>
        <v>34.991889300000004</v>
      </c>
      <c r="T7">
        <f>Feuil3!J18/1000</f>
        <v>31.3367377</v>
      </c>
      <c r="U7">
        <f>Feuil3!K18/1000</f>
        <v>28.7034418</v>
      </c>
      <c r="V7">
        <f>Feuil3!L18/1000</f>
        <v>27.560617099999998</v>
      </c>
      <c r="W7">
        <f>Feuil3!M18/1000</f>
        <v>26.4073432</v>
      </c>
      <c r="X7">
        <f>Feuil3!N18/1000</f>
        <v>25.028574299999999</v>
      </c>
      <c r="Y7" t="s">
        <v>27</v>
      </c>
      <c r="Z7">
        <f>Feuil3!P18/1000</f>
        <v>21.0371083</v>
      </c>
      <c r="AA7" t="s">
        <v>27</v>
      </c>
      <c r="AB7">
        <f>Feuil3!R18/1000</f>
        <v>17.946038600000001</v>
      </c>
      <c r="AC7" t="s">
        <v>27</v>
      </c>
      <c r="AD7">
        <f>Feuil3!T18/1000</f>
        <v>15.3254508</v>
      </c>
      <c r="AE7" t="s">
        <v>27</v>
      </c>
      <c r="AF7">
        <f>Feuil3!V18/1000</f>
        <v>13.720379999999999</v>
      </c>
    </row>
    <row r="8" spans="1:32" x14ac:dyDescent="0.25">
      <c r="A8" t="s">
        <v>63</v>
      </c>
      <c r="B8" t="s">
        <v>34</v>
      </c>
      <c r="C8" t="s">
        <v>24</v>
      </c>
      <c r="D8" t="s">
        <v>28</v>
      </c>
      <c r="E8">
        <v>13</v>
      </c>
      <c r="F8" t="s">
        <v>57</v>
      </c>
      <c r="G8">
        <v>35</v>
      </c>
      <c r="H8">
        <v>35</v>
      </c>
      <c r="I8">
        <v>3</v>
      </c>
      <c r="J8" t="s">
        <v>52</v>
      </c>
      <c r="K8">
        <v>0</v>
      </c>
      <c r="L8" t="s">
        <v>58</v>
      </c>
      <c r="M8">
        <v>0</v>
      </c>
      <c r="N8" t="s">
        <v>29</v>
      </c>
      <c r="O8">
        <v>40.088073780000002</v>
      </c>
      <c r="P8">
        <f>Feuil3!F2/1000</f>
        <v>38.613032637985299</v>
      </c>
      <c r="Q8">
        <f>Feuil3!G2/1000</f>
        <v>35.588836843184296</v>
      </c>
      <c r="R8">
        <f>Feuil3!H2/1000</f>
        <v>31.691670729541798</v>
      </c>
      <c r="S8">
        <f>Feuil3!I2/1000</f>
        <v>26.823858638258802</v>
      </c>
      <c r="T8">
        <f>Feuil3!J2/1000</f>
        <v>21.933724658089798</v>
      </c>
      <c r="U8">
        <f>Feuil3!K2/1000</f>
        <v>17.053859449811</v>
      </c>
      <c r="V8">
        <f>Feuil3!L2/1000</f>
        <v>11.9380080198176</v>
      </c>
      <c r="W8">
        <f>Feuil3!M2/1000</f>
        <v>7.2715657578619606</v>
      </c>
      <c r="X8">
        <f>Feuil3!N2/1000</f>
        <v>2.53628715709729</v>
      </c>
      <c r="Y8">
        <f>Feuil3!O2/1000</f>
        <v>-0.45925326638883701</v>
      </c>
      <c r="Z8">
        <f>Feuil3!P2/1000</f>
        <v>-1.7681642550523899</v>
      </c>
      <c r="AA8">
        <f>Feuil3!Q2/1000</f>
        <v>-2.6994181290969399</v>
      </c>
      <c r="AB8">
        <f>Feuil3!R2/1000</f>
        <v>-3.3051460332391698</v>
      </c>
      <c r="AC8">
        <f>Feuil3!S2/1000</f>
        <v>-3.488062298515</v>
      </c>
      <c r="AD8">
        <f>Feuil3!T2/1000</f>
        <v>-3.55606115551599</v>
      </c>
      <c r="AE8">
        <f>Feuil3!U2/1000</f>
        <v>-3.54256710927885</v>
      </c>
      <c r="AF8">
        <f>Feuil3!V2/1000</f>
        <v>-2.9932889340630999</v>
      </c>
    </row>
    <row r="9" spans="1:32" x14ac:dyDescent="0.25">
      <c r="A9" t="s">
        <v>64</v>
      </c>
      <c r="B9" t="s">
        <v>34</v>
      </c>
      <c r="C9" t="s">
        <v>24</v>
      </c>
      <c r="D9" t="s">
        <v>28</v>
      </c>
      <c r="E9">
        <v>13</v>
      </c>
      <c r="F9" t="s">
        <v>57</v>
      </c>
      <c r="G9">
        <v>35</v>
      </c>
      <c r="H9">
        <v>35</v>
      </c>
      <c r="I9">
        <v>3</v>
      </c>
      <c r="J9" t="s">
        <v>54</v>
      </c>
      <c r="K9">
        <v>0</v>
      </c>
      <c r="L9" t="s">
        <v>58</v>
      </c>
      <c r="M9">
        <v>0</v>
      </c>
      <c r="N9" t="s">
        <v>29</v>
      </c>
      <c r="O9">
        <v>43.281865512491535</v>
      </c>
      <c r="P9">
        <f>Feuil3!F8/1000</f>
        <v>41.341829628429636</v>
      </c>
      <c r="Q9">
        <f>Feuil3!G8/1000</f>
        <v>32.093757828687998</v>
      </c>
      <c r="R9">
        <f>Feuil3!H8/1000</f>
        <v>27.122843355905079</v>
      </c>
      <c r="S9">
        <f>Feuil3!I8/1000</f>
        <v>23.828816554553249</v>
      </c>
      <c r="T9">
        <f>Feuil3!J8/1000</f>
        <v>20.684310191497651</v>
      </c>
      <c r="U9">
        <f>Feuil3!K8/1000</f>
        <v>16.750095309378722</v>
      </c>
      <c r="V9">
        <f>Feuil3!L8/1000</f>
        <v>13.01762706944516</v>
      </c>
      <c r="W9">
        <f>Feuil3!M8/1000</f>
        <v>10.737502004817431</v>
      </c>
      <c r="X9">
        <f>Feuil3!N8/1000</f>
        <v>8.722774143942134</v>
      </c>
      <c r="Y9" t="s">
        <v>27</v>
      </c>
      <c r="Z9">
        <f>Feuil3!P8/1000</f>
        <v>3.2318213475537507</v>
      </c>
      <c r="AA9" t="s">
        <v>27</v>
      </c>
      <c r="AB9">
        <f>Feuil3!R8/1000</f>
        <v>0.8099591337310228</v>
      </c>
      <c r="AC9" t="s">
        <v>27</v>
      </c>
      <c r="AD9">
        <f>Feuil3!T8/1000</f>
        <v>0.85043578162823585</v>
      </c>
      <c r="AE9" t="s">
        <v>27</v>
      </c>
      <c r="AF9">
        <f>Feuil3!V8/1000</f>
        <v>0.87800921403981691</v>
      </c>
    </row>
    <row r="10" spans="1:32" x14ac:dyDescent="0.25">
      <c r="A10" t="s">
        <v>65</v>
      </c>
      <c r="B10" t="s">
        <v>34</v>
      </c>
      <c r="C10" t="s">
        <v>24</v>
      </c>
      <c r="D10" t="s">
        <v>28</v>
      </c>
      <c r="E10">
        <v>13</v>
      </c>
      <c r="F10" t="s">
        <v>57</v>
      </c>
      <c r="G10">
        <v>35</v>
      </c>
      <c r="H10">
        <v>35</v>
      </c>
      <c r="I10">
        <v>3</v>
      </c>
      <c r="J10" t="s">
        <v>55</v>
      </c>
      <c r="K10">
        <v>0</v>
      </c>
      <c r="L10" t="s">
        <v>58</v>
      </c>
      <c r="M10">
        <v>0</v>
      </c>
      <c r="N10" t="s">
        <v>29</v>
      </c>
      <c r="O10">
        <v>39.2836128</v>
      </c>
      <c r="P10">
        <f>Feuil3!F14/1000</f>
        <v>42.508356600000006</v>
      </c>
      <c r="Q10">
        <f>Feuil3!G14/1000</f>
        <v>35.354559500000001</v>
      </c>
      <c r="R10">
        <f>Feuil3!H14/1000</f>
        <v>30.912269299999998</v>
      </c>
      <c r="S10">
        <f>Feuil3!I14/1000</f>
        <v>23.809812099999998</v>
      </c>
      <c r="T10">
        <f>Feuil3!J14/1000</f>
        <v>18.0697686</v>
      </c>
      <c r="U10">
        <f>Feuil3!K14/1000</f>
        <v>13.4914115</v>
      </c>
      <c r="V10">
        <f>Feuil3!L14/1000</f>
        <v>10.3747059</v>
      </c>
      <c r="W10">
        <f>Feuil3!M14/1000</f>
        <v>8.473748800000001</v>
      </c>
      <c r="X10">
        <f>Feuil3!N14/1000</f>
        <v>7.3855529000000004</v>
      </c>
      <c r="Y10" t="s">
        <v>27</v>
      </c>
      <c r="Z10">
        <f>Feuil3!P14/1000</f>
        <v>6.0097754000000005</v>
      </c>
      <c r="AA10" t="s">
        <v>27</v>
      </c>
      <c r="AB10">
        <f>Feuil3!R14/1000</f>
        <v>4.9945666000000006</v>
      </c>
      <c r="AC10" t="s">
        <v>27</v>
      </c>
      <c r="AD10">
        <f>Feuil3!T14/1000</f>
        <v>3.9756376000000002</v>
      </c>
      <c r="AE10" t="s">
        <v>27</v>
      </c>
      <c r="AF10">
        <f>Feuil3!V14/1000</f>
        <v>2.9353113000000013</v>
      </c>
    </row>
    <row r="11" spans="1:32" x14ac:dyDescent="0.25">
      <c r="A11" t="s">
        <v>63</v>
      </c>
      <c r="B11" t="s">
        <v>33</v>
      </c>
      <c r="C11" t="s">
        <v>24</v>
      </c>
      <c r="D11" t="s">
        <v>28</v>
      </c>
      <c r="E11">
        <v>14</v>
      </c>
      <c r="F11" t="s">
        <v>57</v>
      </c>
      <c r="G11">
        <v>15</v>
      </c>
      <c r="H11">
        <v>15</v>
      </c>
      <c r="I11">
        <v>4</v>
      </c>
      <c r="J11" t="s">
        <v>52</v>
      </c>
      <c r="K11">
        <v>0</v>
      </c>
      <c r="L11" t="s">
        <v>59</v>
      </c>
      <c r="M11">
        <v>0</v>
      </c>
      <c r="N11" t="s">
        <v>29</v>
      </c>
      <c r="O11">
        <v>40.088073780000002</v>
      </c>
      <c r="P11">
        <f>Feuil3!F7/1000</f>
        <v>38.406194598863401</v>
      </c>
      <c r="Q11">
        <f>Feuil3!G7/1000</f>
        <v>31.878174513593798</v>
      </c>
      <c r="R11">
        <f>Feuil3!H7/1000</f>
        <v>25.906152020241198</v>
      </c>
      <c r="S11">
        <f>Feuil3!I7/1000</f>
        <v>18.384518047594</v>
      </c>
      <c r="T11">
        <f>Feuil3!J7/1000</f>
        <v>12.302102514865998</v>
      </c>
      <c r="U11">
        <f>Feuil3!K7/1000</f>
        <v>5.9796455923793301</v>
      </c>
      <c r="V11">
        <f>Feuil3!L7/1000</f>
        <v>-0.29481832220103504</v>
      </c>
      <c r="W11">
        <f>Feuil3!M7/1000</f>
        <v>-2.2553272276875602</v>
      </c>
      <c r="X11">
        <f>Feuil3!N7/1000</f>
        <v>-4.1959406085100497</v>
      </c>
      <c r="Y11">
        <f>Feuil3!O7/1000</f>
        <v>-4.80242762739078</v>
      </c>
      <c r="Z11">
        <f>Feuil3!P7/1000</f>
        <v>-5.08905945321695</v>
      </c>
      <c r="AA11">
        <f>Feuil3!Q7/1000</f>
        <v>-5.2823792120706505</v>
      </c>
      <c r="AB11">
        <f>Feuil3!R7/1000</f>
        <v>-5.4315742881013804</v>
      </c>
      <c r="AC11">
        <f>Feuil3!S7/1000</f>
        <v>-5.3662021574005001</v>
      </c>
      <c r="AD11">
        <f>Feuil3!T7/1000</f>
        <v>-5.2121837684364198</v>
      </c>
      <c r="AE11">
        <f>Feuil3!U7/1000</f>
        <v>-5.01244408791068</v>
      </c>
      <c r="AF11">
        <f>Feuil3!V7/1000</f>
        <v>-4.5450450176973396</v>
      </c>
    </row>
    <row r="12" spans="1:32" x14ac:dyDescent="0.25">
      <c r="A12" t="s">
        <v>64</v>
      </c>
      <c r="B12" t="s">
        <v>33</v>
      </c>
      <c r="C12" t="s">
        <v>24</v>
      </c>
      <c r="D12" t="s">
        <v>28</v>
      </c>
      <c r="E12">
        <v>14</v>
      </c>
      <c r="F12" t="s">
        <v>57</v>
      </c>
      <c r="G12">
        <v>12</v>
      </c>
      <c r="H12">
        <v>12</v>
      </c>
      <c r="I12">
        <v>4</v>
      </c>
      <c r="J12" t="s">
        <v>54</v>
      </c>
      <c r="K12">
        <v>0</v>
      </c>
      <c r="L12" s="1" t="s">
        <v>59</v>
      </c>
      <c r="M12">
        <v>0</v>
      </c>
      <c r="N12" t="s">
        <v>29</v>
      </c>
      <c r="O12">
        <v>43.281865512491535</v>
      </c>
      <c r="P12">
        <f>Feuil3!F13/1000</f>
        <v>41.341829628429636</v>
      </c>
      <c r="Q12">
        <f>Feuil3!G13/1000</f>
        <v>27.56747938802226</v>
      </c>
      <c r="R12">
        <f>Feuil3!H13/1000</f>
        <v>17.884384902282481</v>
      </c>
      <c r="S12">
        <f>Feuil3!I13/1000</f>
        <v>12.199418507489339</v>
      </c>
      <c r="T12">
        <f>Feuil3!J13/1000</f>
        <v>8.9368349949737578</v>
      </c>
      <c r="U12">
        <f>Feuil3!K13/1000</f>
        <v>6.3535839951476341</v>
      </c>
      <c r="V12">
        <f>Feuil3!L13/1000</f>
        <v>4.3548116050204282</v>
      </c>
      <c r="W12">
        <f>Feuil3!M13/1000</f>
        <v>2.7837843060358751</v>
      </c>
      <c r="X12">
        <f>Feuil3!N13/1000</f>
        <v>1.0684095362909378</v>
      </c>
      <c r="Y12" t="s">
        <v>27</v>
      </c>
      <c r="Z12">
        <f>Feuil3!P13/1000</f>
        <v>0.67640233703492458</v>
      </c>
      <c r="AA12" t="s">
        <v>27</v>
      </c>
      <c r="AB12">
        <f>Feuil3!R13/1000</f>
        <v>0.67746816561486933</v>
      </c>
      <c r="AC12" t="s">
        <v>27</v>
      </c>
      <c r="AD12">
        <f>Feuil3!T13/1000</f>
        <v>0.80277610178249981</v>
      </c>
      <c r="AE12" t="s">
        <v>27</v>
      </c>
      <c r="AF12">
        <f>Feuil3!V13/1000</f>
        <v>0.82860521185305569</v>
      </c>
    </row>
    <row r="13" spans="1:32" x14ac:dyDescent="0.25">
      <c r="A13" t="s">
        <v>65</v>
      </c>
      <c r="B13" t="s">
        <v>33</v>
      </c>
      <c r="C13" t="s">
        <v>24</v>
      </c>
      <c r="D13" t="s">
        <v>28</v>
      </c>
      <c r="E13">
        <v>14</v>
      </c>
      <c r="F13" t="s">
        <v>57</v>
      </c>
      <c r="G13">
        <v>20</v>
      </c>
      <c r="H13">
        <v>20</v>
      </c>
      <c r="I13">
        <v>4</v>
      </c>
      <c r="J13" t="s">
        <v>55</v>
      </c>
      <c r="K13">
        <v>0</v>
      </c>
      <c r="L13" t="s">
        <v>59</v>
      </c>
      <c r="M13">
        <v>0</v>
      </c>
      <c r="N13" t="s">
        <v>29</v>
      </c>
      <c r="O13">
        <v>39.2836128</v>
      </c>
      <c r="P13">
        <f>Feuil3!F19/1000</f>
        <v>42.508356600000006</v>
      </c>
      <c r="Q13">
        <f>Feuil3!G19/1000</f>
        <v>30.772055899999998</v>
      </c>
      <c r="R13">
        <f>Feuil3!H19/1000</f>
        <v>23.406247999999998</v>
      </c>
      <c r="S13">
        <f>Feuil3!I19/1000</f>
        <v>15.2743968</v>
      </c>
      <c r="T13">
        <f>Feuil3!J19/1000</f>
        <v>8.9516035000000009</v>
      </c>
      <c r="U13">
        <f>Feuil3!K19/1000</f>
        <v>4.9193684000000006</v>
      </c>
      <c r="V13">
        <f>Feuil3!L19/1000</f>
        <v>2.3915161999999999</v>
      </c>
      <c r="W13">
        <f>Feuil3!M19/1000</f>
        <v>0.74575959999999997</v>
      </c>
      <c r="X13">
        <f>Feuil3!N19/1000</f>
        <v>-0.46660649999999998</v>
      </c>
      <c r="Y13" t="s">
        <v>27</v>
      </c>
      <c r="Z13">
        <f>Feuil3!P19/1000</f>
        <v>-1.7087215</v>
      </c>
      <c r="AA13" t="s">
        <v>27</v>
      </c>
      <c r="AB13">
        <f>Feuil3!R19/1000</f>
        <v>-1.8526998000000001</v>
      </c>
      <c r="AC13" t="s">
        <v>27</v>
      </c>
      <c r="AD13">
        <f>Feuil3!T19/1000</f>
        <v>-2.4390837999999997</v>
      </c>
      <c r="AE13" t="s">
        <v>27</v>
      </c>
      <c r="AF13">
        <f>Feuil3!V19/1000</f>
        <v>-3.4710987000000002</v>
      </c>
    </row>
    <row r="14" spans="1:32" x14ac:dyDescent="0.25">
      <c r="A14" t="s">
        <v>63</v>
      </c>
      <c r="B14" t="s">
        <v>23</v>
      </c>
      <c r="C14" t="s">
        <v>24</v>
      </c>
      <c r="D14" t="s">
        <v>28</v>
      </c>
      <c r="E14">
        <v>15</v>
      </c>
      <c r="F14" t="s">
        <v>60</v>
      </c>
      <c r="G14">
        <v>21</v>
      </c>
      <c r="H14">
        <v>21</v>
      </c>
      <c r="I14">
        <v>5</v>
      </c>
      <c r="J14" t="s">
        <v>52</v>
      </c>
      <c r="K14">
        <v>1</v>
      </c>
      <c r="L14" t="s">
        <v>61</v>
      </c>
      <c r="M14">
        <v>0</v>
      </c>
      <c r="N14" t="s">
        <v>29</v>
      </c>
      <c r="O14">
        <v>40.088073780000002</v>
      </c>
      <c r="P14">
        <f>Feuil3!F4/1000</f>
        <v>38.459575223671003</v>
      </c>
      <c r="Q14">
        <f>Feuil3!G4/1000</f>
        <v>39.4394760828297</v>
      </c>
      <c r="R14">
        <f>Feuil3!H4/1000</f>
        <v>39.3462017586766</v>
      </c>
      <c r="S14">
        <f>Feuil3!I4/1000</f>
        <v>29.474409252043799</v>
      </c>
      <c r="T14">
        <f>Feuil3!J4/1000</f>
        <v>20.337223864720798</v>
      </c>
      <c r="U14">
        <f>Feuil3!K4/1000</f>
        <v>10.9620620908973</v>
      </c>
      <c r="V14">
        <f>Feuil3!L4/1000</f>
        <v>2.4535858614574</v>
      </c>
      <c r="W14">
        <f>Feuil3!M4/1000</f>
        <v>-0.883383640007389</v>
      </c>
      <c r="X14">
        <f>Feuil3!N4/1000</f>
        <v>-4.2409889704919399</v>
      </c>
      <c r="Y14">
        <f>Feuil3!O4/1000</f>
        <v>-5.3916816672565604</v>
      </c>
      <c r="Z14">
        <f>Feuil3!P4/1000</f>
        <v>-5.7851631873976403</v>
      </c>
      <c r="AA14">
        <f>Feuil3!Q4/1000</f>
        <v>-5.9947704555144199</v>
      </c>
      <c r="AB14">
        <f>Feuil3!R4/1000</f>
        <v>-6.1483074055567508</v>
      </c>
      <c r="AC14">
        <f>Feuil3!S4/1000</f>
        <v>-6.0113097487841696</v>
      </c>
      <c r="AD14">
        <f>Feuil3!T4/1000</f>
        <v>-5.7507755709835902</v>
      </c>
      <c r="AE14">
        <f>Feuil3!U4/1000</f>
        <v>-5.4367588217088993</v>
      </c>
      <c r="AF14">
        <f>Feuil3!V4/1000</f>
        <v>-4.8604790785741896</v>
      </c>
    </row>
    <row r="15" spans="1:32" x14ac:dyDescent="0.25">
      <c r="A15" t="s">
        <v>64</v>
      </c>
      <c r="B15" t="s">
        <v>23</v>
      </c>
      <c r="C15" t="s">
        <v>24</v>
      </c>
      <c r="D15" t="s">
        <v>28</v>
      </c>
      <c r="E15">
        <v>15</v>
      </c>
      <c r="F15" t="s">
        <v>60</v>
      </c>
      <c r="G15">
        <v>20</v>
      </c>
      <c r="H15">
        <v>20</v>
      </c>
      <c r="I15">
        <v>5</v>
      </c>
      <c r="J15" t="s">
        <v>54</v>
      </c>
      <c r="K15">
        <v>1</v>
      </c>
      <c r="L15" t="s">
        <v>61</v>
      </c>
      <c r="M15">
        <v>0</v>
      </c>
      <c r="N15" t="s">
        <v>29</v>
      </c>
      <c r="O15">
        <v>43.281865512491535</v>
      </c>
      <c r="P15">
        <f>Feuil3!F10/1000</f>
        <v>41.341829628429636</v>
      </c>
      <c r="Q15">
        <f>Feuil3!G10/1000</f>
        <v>42.693483731043905</v>
      </c>
      <c r="R15">
        <f>Feuil3!H10/1000</f>
        <v>44.317293867127198</v>
      </c>
      <c r="S15">
        <f>Feuil3!I10/1000</f>
        <v>29.78868392005576</v>
      </c>
      <c r="T15">
        <f>Feuil3!J10/1000</f>
        <v>19.008732394914912</v>
      </c>
      <c r="U15">
        <f>Feuil3!K10/1000</f>
        <v>12.775317086310881</v>
      </c>
      <c r="V15">
        <f>Feuil3!L10/1000</f>
        <v>8.6409798767189177</v>
      </c>
      <c r="W15">
        <f>Feuil3!M10/1000</f>
        <v>5.7274444842140015</v>
      </c>
      <c r="X15">
        <f>Feuil3!N10/1000</f>
        <v>3.3383527213433357</v>
      </c>
      <c r="Y15" t="s">
        <v>27</v>
      </c>
      <c r="Z15">
        <f>Feuil3!P10/1000</f>
        <v>-1.9168916286845921</v>
      </c>
      <c r="AA15" t="s">
        <v>27</v>
      </c>
      <c r="AB15">
        <f>Feuil3!R10/1000</f>
        <v>-5.3917962575160372</v>
      </c>
      <c r="AC15" t="s">
        <v>27</v>
      </c>
      <c r="AD15">
        <f>Feuil3!T10/1000</f>
        <v>-5.3813396538417857</v>
      </c>
      <c r="AE15" t="s">
        <v>27</v>
      </c>
      <c r="AF15">
        <f>Feuil3!V10/1000</f>
        <v>-5.3970033130515214</v>
      </c>
    </row>
    <row r="16" spans="1:32" x14ac:dyDescent="0.25">
      <c r="A16" t="s">
        <v>65</v>
      </c>
      <c r="B16" t="s">
        <v>23</v>
      </c>
      <c r="C16" t="s">
        <v>24</v>
      </c>
      <c r="D16" t="s">
        <v>28</v>
      </c>
      <c r="E16">
        <v>15</v>
      </c>
      <c r="F16" t="s">
        <v>60</v>
      </c>
      <c r="G16">
        <v>19</v>
      </c>
      <c r="H16">
        <v>19</v>
      </c>
      <c r="I16">
        <v>5</v>
      </c>
      <c r="J16" t="s">
        <v>55</v>
      </c>
      <c r="K16">
        <v>1</v>
      </c>
      <c r="L16" t="s">
        <v>61</v>
      </c>
      <c r="M16">
        <v>0</v>
      </c>
      <c r="N16" t="s">
        <v>29</v>
      </c>
      <c r="O16">
        <v>39.2836128</v>
      </c>
      <c r="P16">
        <f>Feuil3!F16/1000</f>
        <v>42.508356600000006</v>
      </c>
      <c r="Q16">
        <f>Feuil3!G16/1000</f>
        <v>41.673560599999995</v>
      </c>
      <c r="R16">
        <f>Feuil3!H16/1000</f>
        <v>41.798737800000005</v>
      </c>
      <c r="S16">
        <f>Feuil3!I16/1000</f>
        <v>27.738970900000002</v>
      </c>
      <c r="T16">
        <f>Feuil3!J16/1000</f>
        <v>16.86078680000001</v>
      </c>
      <c r="U16">
        <f>Feuil3!K16/1000</f>
        <v>10.270300600000001</v>
      </c>
      <c r="V16">
        <f>Feuil3!L16/1000</f>
        <v>6.6722494999999995</v>
      </c>
      <c r="W16">
        <f>Feuil3!M16/1000</f>
        <v>4.9325433999999992</v>
      </c>
      <c r="X16">
        <f>Feuil3!N16/1000</f>
        <v>3.8932640999999997</v>
      </c>
      <c r="Y16" t="s">
        <v>27</v>
      </c>
      <c r="Z16">
        <f>Feuil3!P16/1000</f>
        <v>2.8177730999999997</v>
      </c>
      <c r="AA16" t="s">
        <v>27</v>
      </c>
      <c r="AB16">
        <f>Feuil3!R16/1000</f>
        <v>3.0139261999999998</v>
      </c>
      <c r="AC16" t="s">
        <v>27</v>
      </c>
      <c r="AD16">
        <f>Feuil3!T16/1000</f>
        <v>3.1944569</v>
      </c>
      <c r="AE16" t="s">
        <v>27</v>
      </c>
      <c r="AF16">
        <f>Feuil3!V16/1000</f>
        <v>2.4384922000000002</v>
      </c>
    </row>
    <row r="17" spans="1:32" x14ac:dyDescent="0.25">
      <c r="A17" t="s">
        <v>63</v>
      </c>
      <c r="B17" t="s">
        <v>30</v>
      </c>
      <c r="C17" t="s">
        <v>24</v>
      </c>
      <c r="D17" t="s">
        <v>28</v>
      </c>
      <c r="E17">
        <v>16</v>
      </c>
      <c r="F17" t="s">
        <v>60</v>
      </c>
      <c r="G17">
        <v>10</v>
      </c>
      <c r="H17">
        <v>10</v>
      </c>
      <c r="I17">
        <v>6</v>
      </c>
      <c r="J17" t="s">
        <v>52</v>
      </c>
      <c r="K17">
        <v>0</v>
      </c>
      <c r="L17" t="s">
        <v>62</v>
      </c>
      <c r="M17">
        <v>0</v>
      </c>
      <c r="N17" t="s">
        <v>29</v>
      </c>
      <c r="O17">
        <v>40.088073780000002</v>
      </c>
      <c r="P17">
        <f>Feuil3!F5/1000</f>
        <v>38.611257005062399</v>
      </c>
      <c r="Q17">
        <f>Feuil3!G5/1000</f>
        <v>26.994424397335901</v>
      </c>
      <c r="R17">
        <f>Feuil3!H5/1000</f>
        <v>22.25849115846</v>
      </c>
      <c r="S17">
        <f>Feuil3!I5/1000</f>
        <v>16.4660864599497</v>
      </c>
      <c r="T17">
        <f>Feuil3!J5/1000</f>
        <v>10.582757379777801</v>
      </c>
      <c r="U17">
        <f>Feuil3!K5/1000</f>
        <v>4.5474520484936098</v>
      </c>
      <c r="V17">
        <f>Feuil3!L5/1000</f>
        <v>-1.3621225200321301</v>
      </c>
      <c r="W17">
        <f>Feuil3!M5/1000</f>
        <v>-3.19586434936484</v>
      </c>
      <c r="X17">
        <f>Feuil3!N5/1000</f>
        <v>-4.7539237737039501</v>
      </c>
      <c r="Y17">
        <f>Feuil3!O5/1000</f>
        <v>-5.27757734053748</v>
      </c>
      <c r="Z17">
        <f>Feuil3!P5/1000</f>
        <v>-5.4662531580638101</v>
      </c>
      <c r="AA17">
        <f>Feuil3!Q5/1000</f>
        <v>-5.5277580250669294</v>
      </c>
      <c r="AB17">
        <f>Feuil3!R5/1000</f>
        <v>-5.5368861877244395</v>
      </c>
      <c r="AC17">
        <f>Feuil3!S5/1000</f>
        <v>-5.5049915539805099</v>
      </c>
      <c r="AD17">
        <f>Feuil3!T5/1000</f>
        <v>-5.42628048695516</v>
      </c>
      <c r="AE17">
        <f>Feuil3!U5/1000</f>
        <v>-5.3203393980412406</v>
      </c>
      <c r="AF17">
        <f>Feuil3!V5/1000</f>
        <v>-4.8000168143841098</v>
      </c>
    </row>
    <row r="18" spans="1:32" x14ac:dyDescent="0.25">
      <c r="A18" t="s">
        <v>64</v>
      </c>
      <c r="B18" t="s">
        <v>30</v>
      </c>
      <c r="C18" t="s">
        <v>24</v>
      </c>
      <c r="D18" t="s">
        <v>28</v>
      </c>
      <c r="E18">
        <v>16</v>
      </c>
      <c r="F18" t="s">
        <v>60</v>
      </c>
      <c r="G18">
        <v>21</v>
      </c>
      <c r="H18">
        <v>21</v>
      </c>
      <c r="I18">
        <v>6</v>
      </c>
      <c r="J18" t="s">
        <v>54</v>
      </c>
      <c r="K18">
        <v>0</v>
      </c>
      <c r="L18" t="s">
        <v>62</v>
      </c>
      <c r="M18">
        <v>0</v>
      </c>
      <c r="N18" t="s">
        <v>29</v>
      </c>
      <c r="O18">
        <v>43.281865512491535</v>
      </c>
      <c r="P18">
        <f>Feuil3!F11/1000</f>
        <v>41.341829628429636</v>
      </c>
      <c r="Q18">
        <f>Feuil3!G11/1000</f>
        <v>26.828106352513242</v>
      </c>
      <c r="R18">
        <f>Feuil3!H11/1000</f>
        <v>16.863108029479882</v>
      </c>
      <c r="S18">
        <f>Feuil3!I11/1000</f>
        <v>10.533443415345641</v>
      </c>
      <c r="T18">
        <f>Feuil3!J11/1000</f>
        <v>7.4715531130585937</v>
      </c>
      <c r="U18">
        <f>Feuil3!K11/1000</f>
        <v>5.3852955601605927</v>
      </c>
      <c r="V18">
        <f>Feuil3!L11/1000</f>
        <v>3.7962779834778129</v>
      </c>
      <c r="W18">
        <f>Feuil3!M11/1000</f>
        <v>2.5987129730264118</v>
      </c>
      <c r="X18">
        <f>Feuil3!N11/1000</f>
        <v>1.3858118810910371</v>
      </c>
      <c r="Y18" t="s">
        <v>27</v>
      </c>
      <c r="Z18">
        <f>Feuil3!P11/1000</f>
        <v>0.7091509900125611</v>
      </c>
      <c r="AA18" t="s">
        <v>27</v>
      </c>
      <c r="AB18">
        <f>Feuil3!R11/1000</f>
        <v>0.81489091171234196</v>
      </c>
      <c r="AC18" t="s">
        <v>27</v>
      </c>
      <c r="AD18">
        <f>Feuil3!T11/1000</f>
        <v>0.78098725125717272</v>
      </c>
      <c r="AE18" t="s">
        <v>27</v>
      </c>
      <c r="AF18">
        <f>Feuil3!V11/1000</f>
        <v>0.97596346094381314</v>
      </c>
    </row>
    <row r="19" spans="1:32" x14ac:dyDescent="0.25">
      <c r="A19" t="s">
        <v>65</v>
      </c>
      <c r="B19" t="s">
        <v>30</v>
      </c>
      <c r="C19" t="s">
        <v>24</v>
      </c>
      <c r="D19" t="s">
        <v>28</v>
      </c>
      <c r="E19">
        <v>16</v>
      </c>
      <c r="F19" t="s">
        <v>60</v>
      </c>
      <c r="G19">
        <v>24</v>
      </c>
      <c r="H19">
        <v>24</v>
      </c>
      <c r="I19">
        <v>6</v>
      </c>
      <c r="J19" t="s">
        <v>55</v>
      </c>
      <c r="K19">
        <v>0</v>
      </c>
      <c r="L19" t="s">
        <v>62</v>
      </c>
      <c r="M19">
        <v>0</v>
      </c>
      <c r="N19" t="s">
        <v>29</v>
      </c>
      <c r="O19">
        <v>39.2836128</v>
      </c>
      <c r="P19">
        <f>Feuil3!F17/1000</f>
        <v>42.508356600000006</v>
      </c>
      <c r="Q19">
        <f>Feuil3!G17/1000</f>
        <v>29.7929894</v>
      </c>
      <c r="R19">
        <f>Feuil3!H17/1000</f>
        <v>21.6029597</v>
      </c>
      <c r="S19">
        <f>Feuil3!I17/1000</f>
        <v>13.862739600000001</v>
      </c>
      <c r="T19">
        <f>Feuil3!J17/1000</f>
        <v>8.5638600999999976</v>
      </c>
      <c r="U19">
        <f>Feuil3!K17/1000</f>
        <v>5.1596706000000001</v>
      </c>
      <c r="V19">
        <f>Feuil3!L17/1000</f>
        <v>3.1259888</v>
      </c>
      <c r="W19">
        <f>Feuil3!M17/1000</f>
        <v>2.1289351999999999</v>
      </c>
      <c r="X19">
        <f>Feuil3!N17/1000</f>
        <v>1.4342301</v>
      </c>
      <c r="Y19" t="s">
        <v>27</v>
      </c>
      <c r="Z19">
        <f>Feuil3!P17/1000</f>
        <v>0.14365729999999999</v>
      </c>
      <c r="AA19" t="s">
        <v>27</v>
      </c>
      <c r="AB19">
        <f>Feuil3!R17/1000</f>
        <v>-0.61994300000000002</v>
      </c>
      <c r="AC19" t="s">
        <v>27</v>
      </c>
      <c r="AD19">
        <f>Feuil3!T17/1000</f>
        <v>-1.4582187</v>
      </c>
      <c r="AE19" t="s">
        <v>27</v>
      </c>
      <c r="AF19">
        <f>Feuil3!V17/1000</f>
        <v>-2.6094111999999998</v>
      </c>
    </row>
  </sheetData>
  <sortState xmlns:xlrd2="http://schemas.microsoft.com/office/spreadsheetml/2017/richdata2" ref="A2:AF19">
    <sortCondition ref="B8:B19"/>
    <sortCondition ref="A8:A19"/>
  </sortState>
  <phoneticPr fontId="1" type="noConversion"/>
  <pageMargins left="0.7" right="0.7" top="0.75" bottom="0.75" header="0.3" footer="0.3"/>
  <ignoredErrors>
    <ignoredError sqref="Q1:AF1 A1:D1 N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972A-976F-4837-9EBB-074A22B56492}">
  <dimension ref="A1:W19"/>
  <sheetViews>
    <sheetView workbookViewId="0">
      <selection activeCell="L18" sqref="L18"/>
    </sheetView>
  </sheetViews>
  <sheetFormatPr baseColWidth="10" defaultRowHeight="15.75" x14ac:dyDescent="0.25"/>
  <cols>
    <col min="1" max="1" width="49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63</v>
      </c>
      <c r="B2" t="s">
        <v>31</v>
      </c>
      <c r="C2" t="s">
        <v>24</v>
      </c>
      <c r="D2" t="s">
        <v>25</v>
      </c>
      <c r="E2" t="s">
        <v>26</v>
      </c>
      <c r="F2">
        <v>0</v>
      </c>
      <c r="G2">
        <f>1.186905016*Feuil1!F3/10</f>
        <v>0</v>
      </c>
      <c r="H2">
        <f>1.186905016*Feuil1!G3/10</f>
        <v>0</v>
      </c>
      <c r="I2">
        <f>1.186905016*Feuil1!H3/10</f>
        <v>0</v>
      </c>
      <c r="J2">
        <f>1.186905016*Feuil1!I3/10</f>
        <v>0</v>
      </c>
      <c r="K2">
        <f>1.186905016*Feuil1!J3/10</f>
        <v>0</v>
      </c>
      <c r="L2">
        <f>1.186905016*Feuil1!K3/10</f>
        <v>0</v>
      </c>
      <c r="M2">
        <f>1.186905016*Feuil1!L3/10</f>
        <v>0</v>
      </c>
      <c r="N2">
        <f>1.186905016*Feuil1!M3/10</f>
        <v>0</v>
      </c>
      <c r="O2">
        <f>1.186905016*Feuil1!N3/10</f>
        <v>0</v>
      </c>
      <c r="P2">
        <f>1.186905016*Feuil1!O3/10</f>
        <v>0</v>
      </c>
      <c r="Q2">
        <f>1.186905016*Feuil1!P3/10</f>
        <v>0</v>
      </c>
      <c r="R2">
        <f>1.186905016*Feuil1!Q3/10</f>
        <v>0</v>
      </c>
      <c r="S2">
        <f>1.186905016*Feuil1!R3/10</f>
        <v>0</v>
      </c>
      <c r="T2">
        <f>1.186905016*Feuil1!S3/10</f>
        <v>0</v>
      </c>
      <c r="U2">
        <f>1.186905016*Feuil1!T3/10</f>
        <v>0</v>
      </c>
      <c r="V2">
        <f>1.186905016*Feuil1!U3/10</f>
        <v>0</v>
      </c>
      <c r="W2">
        <f>1.186905016*Feuil1!V3/10</f>
        <v>0</v>
      </c>
    </row>
    <row r="3" spans="1:23" x14ac:dyDescent="0.25">
      <c r="A3" t="s">
        <v>64</v>
      </c>
      <c r="B3" t="s">
        <v>31</v>
      </c>
      <c r="C3" t="s">
        <v>24</v>
      </c>
      <c r="D3" t="s">
        <v>25</v>
      </c>
      <c r="E3" t="s">
        <v>26</v>
      </c>
      <c r="F3">
        <v>0</v>
      </c>
      <c r="G3">
        <f>1.186905016*Feuil1!F9/10</f>
        <v>0.15409991849595889</v>
      </c>
      <c r="H3">
        <f>1.186905016*Feuil1!G9/10</f>
        <v>7.6141481689112306E-2</v>
      </c>
      <c r="I3">
        <f>1.186905016*Feuil1!H9/10</f>
        <v>3.6214578875150442E-2</v>
      </c>
      <c r="J3">
        <f>1.186905016*Feuil1!I9/10</f>
        <v>0.15878655214582721</v>
      </c>
      <c r="K3">
        <f>1.186905016*Feuil1!J9/10</f>
        <v>0.29037132175212743</v>
      </c>
      <c r="L3">
        <f>1.186905016*Feuil1!K9/10</f>
        <v>0.42080972281577839</v>
      </c>
      <c r="M3">
        <f>1.186905016*Feuil1!L9/10</f>
        <v>0.55131972527318207</v>
      </c>
      <c r="N3">
        <f>1.186905016*Feuil1!M9/10</f>
        <v>0.68200833695849317</v>
      </c>
      <c r="O3">
        <f>1.186905016*Feuil1!N9/10</f>
        <v>0.81177233035787777</v>
      </c>
      <c r="Q3">
        <f>1.186905016*Feuil1!P9/10</f>
        <v>1.073291141931759</v>
      </c>
      <c r="S3">
        <f>1.186905016*Feuil1!R9/10</f>
        <v>1.3319267719138965</v>
      </c>
      <c r="U3">
        <f>1.186905016*Feuil1!T9/10</f>
        <v>1.5904480073927136</v>
      </c>
      <c r="W3">
        <f>1.186905016*Feuil1!V9/10</f>
        <v>1.8485837203679192</v>
      </c>
    </row>
    <row r="4" spans="1:23" x14ac:dyDescent="0.25">
      <c r="A4" t="s">
        <v>65</v>
      </c>
      <c r="B4" t="s">
        <v>31</v>
      </c>
      <c r="C4" t="s">
        <v>24</v>
      </c>
      <c r="D4" t="s">
        <v>25</v>
      </c>
      <c r="E4" t="s">
        <v>26</v>
      </c>
      <c r="F4">
        <v>0</v>
      </c>
      <c r="G4">
        <f>1.186905016*Feuil1!F15/10</f>
        <v>1.15452624716352</v>
      </c>
      <c r="H4">
        <f>1.186905016*Feuil1!G15/10</f>
        <v>0.75396954236383995</v>
      </c>
      <c r="I4">
        <f>1.186905016*Feuil1!H15/10</f>
        <v>0.71450495058184005</v>
      </c>
      <c r="J4">
        <f>1.186905016*Feuil1!I15/10</f>
        <v>0.69382906520312004</v>
      </c>
      <c r="K4">
        <f>1.186905016*Feuil1!J15/10</f>
        <v>0.68895088558736006</v>
      </c>
      <c r="L4">
        <f>1.186905016*Feuil1!K15/10</f>
        <v>0.70148460255632006</v>
      </c>
      <c r="M4">
        <f>1.186905016*Feuil1!L15/10</f>
        <v>0.72293197619544014</v>
      </c>
      <c r="N4">
        <f>1.186905016*Feuil1!M15/10</f>
        <v>0.75757773361248004</v>
      </c>
      <c r="O4">
        <f>1.186905016*Feuil1!N15/10</f>
        <v>0.80208667171248005</v>
      </c>
      <c r="Q4">
        <f>1.186905016*Feuil1!P15/10</f>
        <v>0.92639123403815993</v>
      </c>
      <c r="S4">
        <f>1.186905016*Feuil1!R15/10</f>
        <v>1.0984687232578401</v>
      </c>
      <c r="U4">
        <f>1.186905016*Feuil1!T15/10</f>
        <v>1.3262239267780802</v>
      </c>
      <c r="W4">
        <f>1.186905016*Feuil1!V15/10</f>
        <v>1.6689190120477602</v>
      </c>
    </row>
    <row r="5" spans="1:23" x14ac:dyDescent="0.25">
      <c r="A5" t="s">
        <v>63</v>
      </c>
      <c r="B5" t="s">
        <v>32</v>
      </c>
      <c r="C5" t="s">
        <v>24</v>
      </c>
      <c r="D5" t="s">
        <v>25</v>
      </c>
      <c r="E5" t="s">
        <v>26</v>
      </c>
      <c r="F5">
        <v>0</v>
      </c>
      <c r="G5">
        <f>1.186905016*Feuil1!F6/10</f>
        <v>0</v>
      </c>
      <c r="H5">
        <f>1.186905016*Feuil1!G6/10</f>
        <v>5.6721198976477609</v>
      </c>
      <c r="I5">
        <f>1.186905016*Feuil1!H6/10</f>
        <v>6.2802891695461254</v>
      </c>
      <c r="J5">
        <f>1.186905016*Feuil1!I6/10</f>
        <v>7.0610175851221415</v>
      </c>
      <c r="K5">
        <f>1.186905016*Feuil1!J6/10</f>
        <v>9.4438098341731358</v>
      </c>
      <c r="L5">
        <f>1.186905016*Feuil1!K6/10</f>
        <v>10.927700269296304</v>
      </c>
      <c r="M5">
        <f>1.186905016*Feuil1!L6/10</f>
        <v>12.279884755745375</v>
      </c>
      <c r="N5">
        <f>1.186905016*Feuil1!M6/10</f>
        <v>12.769948294707296</v>
      </c>
      <c r="O5">
        <f>1.186905016*Feuil1!N6/10</f>
        <v>14.331536286092751</v>
      </c>
      <c r="P5">
        <f>1.186905016*Feuil1!O6/10</f>
        <v>14.790911833886648</v>
      </c>
      <c r="Q5">
        <f>1.186905016*Feuil1!P6/10</f>
        <v>16.574090508778582</v>
      </c>
      <c r="R5">
        <f>1.186905016*Feuil1!Q6/10</f>
        <v>18.088979439030421</v>
      </c>
      <c r="S5">
        <f>1.186905016*Feuil1!R6/10</f>
        <v>18.6586183707476</v>
      </c>
      <c r="T5">
        <f>1.186905016*Feuil1!S6/10</f>
        <v>19.409541766029747</v>
      </c>
      <c r="U5">
        <f>1.186905016*Feuil1!T6/10</f>
        <v>20.105693956119222</v>
      </c>
      <c r="V5">
        <f>1.186905016*Feuil1!U6/10</f>
        <v>20.691329687676568</v>
      </c>
      <c r="W5">
        <f>1.186905016*Feuil1!V6/10</f>
        <v>22.905915679213372</v>
      </c>
    </row>
    <row r="6" spans="1:23" x14ac:dyDescent="0.25">
      <c r="A6" t="s">
        <v>64</v>
      </c>
      <c r="B6" t="s">
        <v>32</v>
      </c>
      <c r="C6" t="s">
        <v>24</v>
      </c>
      <c r="D6" t="s">
        <v>25</v>
      </c>
      <c r="E6" t="s">
        <v>26</v>
      </c>
      <c r="F6">
        <v>0</v>
      </c>
      <c r="G6">
        <f>1.186905016*Feuil1!F12/10</f>
        <v>0.15409991849595889</v>
      </c>
      <c r="H6">
        <f>1.186905016*Feuil1!G12/10</f>
        <v>0.63366571678191275</v>
      </c>
      <c r="I6">
        <f>1.186905016*Feuil1!H12/10</f>
        <v>2.4133421595586331</v>
      </c>
      <c r="J6">
        <f>1.186905016*Feuil1!I12/10</f>
        <v>4.7463614242629362</v>
      </c>
      <c r="K6">
        <f>1.186905016*Feuil1!J12/10</f>
        <v>5.136895236365385</v>
      </c>
      <c r="L6">
        <f>1.186905016*Feuil1!K12/10</f>
        <v>5.6902742080556061</v>
      </c>
      <c r="M6">
        <f>1.186905016*Feuil1!L12/10</f>
        <v>6.3156220471423925</v>
      </c>
      <c r="N6">
        <f>1.186905016*Feuil1!M12/10</f>
        <v>6.9489446448681225</v>
      </c>
      <c r="O6">
        <f>1.186905016*Feuil1!N12/10</f>
        <v>7.5952653635479308</v>
      </c>
      <c r="Q6">
        <f>1.186905016*Feuil1!P12/10</f>
        <v>8.9934272703383584</v>
      </c>
      <c r="S6">
        <f>1.186905016*Feuil1!R12/10</f>
        <v>10.414585688394371</v>
      </c>
      <c r="U6">
        <f>1.186905016*Feuil1!T12/10</f>
        <v>11.835953328389444</v>
      </c>
      <c r="W6">
        <f>1.186905016*Feuil1!V12/10</f>
        <v>13.253004197232309</v>
      </c>
    </row>
    <row r="7" spans="1:23" x14ac:dyDescent="0.25">
      <c r="A7" t="s">
        <v>65</v>
      </c>
      <c r="B7" t="s">
        <v>32</v>
      </c>
      <c r="C7" t="s">
        <v>24</v>
      </c>
      <c r="D7" t="s">
        <v>25</v>
      </c>
      <c r="E7" t="s">
        <v>26</v>
      </c>
      <c r="F7">
        <v>0</v>
      </c>
      <c r="G7">
        <f>1.186905016*Feuil1!F18/10</f>
        <v>1.15452624716352</v>
      </c>
      <c r="H7">
        <f>1.186905016*Feuil1!G18/10</f>
        <v>2.9695888738313601</v>
      </c>
      <c r="I7">
        <f>1.186905016*Feuil1!H18/10</f>
        <v>4.2271503454338397</v>
      </c>
      <c r="J7">
        <f>1.186905016*Feuil1!I18/10</f>
        <v>4.5866876128805609</v>
      </c>
      <c r="K7">
        <f>1.186905016*Feuil1!J18/10</f>
        <v>5.0129764184271215</v>
      </c>
      <c r="L7">
        <f>1.186905016*Feuil1!K18/10</f>
        <v>5.5104676558835202</v>
      </c>
      <c r="M7">
        <f>1.186905016*Feuil1!L18/10</f>
        <v>6.0135848231157611</v>
      </c>
      <c r="N7">
        <f>1.186905016*Feuil1!M18/10</f>
        <v>6.5034561303694414</v>
      </c>
      <c r="O7">
        <f>1.186905016*Feuil1!N18/10</f>
        <v>6.991855675403281</v>
      </c>
      <c r="Q7">
        <f>1.186905016*Feuil1!P18/10</f>
        <v>8.0224809079465622</v>
      </c>
      <c r="S7">
        <f>1.186905016*Feuil1!R18/10</f>
        <v>9.0537708072988003</v>
      </c>
      <c r="U7">
        <f>1.186905016*Feuil1!T18/10</f>
        <v>10.360553229914803</v>
      </c>
      <c r="W7">
        <f>1.186905016*Feuil1!V18/10</f>
        <v>11.964275549433681</v>
      </c>
    </row>
    <row r="8" spans="1:23" x14ac:dyDescent="0.25">
      <c r="A8" t="s">
        <v>63</v>
      </c>
      <c r="B8" t="s">
        <v>41</v>
      </c>
      <c r="C8" t="s">
        <v>24</v>
      </c>
      <c r="D8" t="s">
        <v>25</v>
      </c>
      <c r="E8" t="s">
        <v>26</v>
      </c>
      <c r="F8">
        <v>0</v>
      </c>
      <c r="G8">
        <f>1.186905016*Feuil1!F2/10</f>
        <v>0</v>
      </c>
      <c r="H8">
        <f>1.186905016*Feuil1!G2/10</f>
        <v>4.8014792709518321</v>
      </c>
      <c r="I8">
        <f>1.186905016*Feuil1!H2/10</f>
        <v>7.6357505299214639</v>
      </c>
      <c r="J8">
        <f>1.186905016*Feuil1!I2/10</f>
        <v>10.846877801164055</v>
      </c>
      <c r="K8">
        <f>1.186905016*Feuil1!J2/10</f>
        <v>14.210612129459946</v>
      </c>
      <c r="L8">
        <f>1.186905016*Feuil1!K2/10</f>
        <v>19.729982475874394</v>
      </c>
      <c r="M8">
        <f>1.186905016*Feuil1!L2/10</f>
        <v>29.441875958825797</v>
      </c>
      <c r="N8">
        <f>1.186905016*Feuil1!M2/10</f>
        <v>41.218626342356082</v>
      </c>
      <c r="O8">
        <f>1.186905016*Feuil1!N2/10</f>
        <v>57.70607687929855</v>
      </c>
      <c r="P8">
        <f>1.186905016*Feuil1!O2/10</f>
        <v>80.788507631017964</v>
      </c>
      <c r="Q8">
        <f>1.186905016*Feuil1!P2/10</f>
        <v>88.867358394119677</v>
      </c>
      <c r="R8">
        <f>1.186905016*Feuil1!Q2/10</f>
        <v>97.753897954358607</v>
      </c>
      <c r="S8">
        <f>1.186905016*Feuil1!R2/10</f>
        <v>107.529582168554</v>
      </c>
      <c r="T8">
        <f>1.186905016*Feuil1!S2/10</f>
        <v>110.75543037777611</v>
      </c>
      <c r="U8">
        <f>1.186905016*Feuil1!T2/10</f>
        <v>114.07794607972951</v>
      </c>
      <c r="V8">
        <f>1.186905016*Feuil1!U2/10</f>
        <v>117.50056415994307</v>
      </c>
      <c r="W8">
        <f>1.186905016*Feuil1!V2/10</f>
        <v>121.02524741014668</v>
      </c>
    </row>
    <row r="9" spans="1:23" x14ac:dyDescent="0.25">
      <c r="A9" t="s">
        <v>64</v>
      </c>
      <c r="B9" t="s">
        <v>41</v>
      </c>
      <c r="C9" t="s">
        <v>24</v>
      </c>
      <c r="D9" t="s">
        <v>25</v>
      </c>
      <c r="E9" t="s">
        <v>26</v>
      </c>
      <c r="F9">
        <v>0</v>
      </c>
      <c r="G9">
        <f>1.186905016*Feuil1!F8/10</f>
        <v>0.15409991849595889</v>
      </c>
      <c r="H9">
        <f>1.186905016*Feuil1!G8/10</f>
        <v>5.8461980146415842</v>
      </c>
      <c r="I9">
        <f>1.186905016*Feuil1!H8/10</f>
        <v>8.0740863386668238</v>
      </c>
      <c r="J9">
        <f>1.186905016*Feuil1!I8/10</f>
        <v>10.147537841212333</v>
      </c>
      <c r="K9">
        <f>1.186905016*Feuil1!J8/10</f>
        <v>13.027311770293133</v>
      </c>
      <c r="L9">
        <f>1.186905016*Feuil1!K8/10</f>
        <v>16.54524334452686</v>
      </c>
      <c r="M9">
        <f>1.186905016*Feuil1!L8/10</f>
        <v>21.366724631621501</v>
      </c>
      <c r="N9">
        <f>1.186905016*Feuil1!M8/10</f>
        <v>25.105483876876569</v>
      </c>
      <c r="O9">
        <f>1.186905016*Feuil1!N8/10</f>
        <v>35.852285364029868</v>
      </c>
      <c r="Q9">
        <f>1.186905016*Feuil1!P8/10</f>
        <v>49.646086089826142</v>
      </c>
      <c r="S9">
        <f>1.186905016*Feuil1!R8/10</f>
        <v>49.01807331354901</v>
      </c>
      <c r="U9">
        <f>1.186905016*Feuil1!T8/10</f>
        <v>37.514826872283457</v>
      </c>
      <c r="W9">
        <f>1.186905016*Feuil1!V8/10</f>
        <v>45.825930078773652</v>
      </c>
    </row>
    <row r="10" spans="1:23" x14ac:dyDescent="0.25">
      <c r="A10" t="s">
        <v>65</v>
      </c>
      <c r="B10" t="s">
        <v>41</v>
      </c>
      <c r="C10" t="s">
        <v>24</v>
      </c>
      <c r="D10" t="s">
        <v>25</v>
      </c>
      <c r="E10" t="s">
        <v>26</v>
      </c>
      <c r="F10">
        <v>0</v>
      </c>
      <c r="G10">
        <f>1.186905016*Feuil1!F14/10</f>
        <v>1.15452624716352</v>
      </c>
      <c r="H10">
        <f>1.186905016*Feuil1!G14/10</f>
        <v>4.1911396472484004</v>
      </c>
      <c r="I10">
        <f>1.186905016*Feuil1!H14/10</f>
        <v>5.6409441242924014</v>
      </c>
      <c r="J10">
        <f>1.186905016*Feuil1!I14/10</f>
        <v>7.3579921347389616</v>
      </c>
      <c r="K10">
        <f>1.186905016*Feuil1!J14/10</f>
        <v>9.5298146711160818</v>
      </c>
      <c r="L10">
        <f>1.186905016*Feuil1!K14/10</f>
        <v>12.348915857968802</v>
      </c>
      <c r="M10">
        <f>1.186905016*Feuil1!L14/10</f>
        <v>16.005556569361922</v>
      </c>
      <c r="N10">
        <f>1.186905016*Feuil1!M14/10</f>
        <v>18.005918807127681</v>
      </c>
      <c r="O10">
        <f>1.186905016*Feuil1!N14/10</f>
        <v>20.007005056953201</v>
      </c>
      <c r="Q10">
        <f>1.186905016*Feuil1!P14/10</f>
        <v>24.008524758845443</v>
      </c>
      <c r="S10">
        <f>1.186905016*Feuil1!R14/10</f>
        <v>28.01051922274408</v>
      </c>
      <c r="U10">
        <f>1.186905016*Feuil1!T14/10</f>
        <v>32.010828281520006</v>
      </c>
      <c r="W10">
        <f>1.186905016*Feuil1!V14/10</f>
        <v>36.01434198383911</v>
      </c>
    </row>
    <row r="11" spans="1:23" x14ac:dyDescent="0.25">
      <c r="A11" t="s">
        <v>63</v>
      </c>
      <c r="B11" t="s">
        <v>33</v>
      </c>
      <c r="C11" t="s">
        <v>24</v>
      </c>
      <c r="D11" t="s">
        <v>25</v>
      </c>
      <c r="E11" t="s">
        <v>26</v>
      </c>
      <c r="F11">
        <v>0</v>
      </c>
      <c r="G11">
        <f>1.186905016*Feuil1!F7/10</f>
        <v>0</v>
      </c>
      <c r="H11">
        <f>1.186905016*Feuil1!G7/10</f>
        <v>8.26779015594866</v>
      </c>
      <c r="I11">
        <f>1.186905016*Feuil1!H7/10</f>
        <v>12.34000856416694</v>
      </c>
      <c r="J11">
        <f>1.186905016*Feuil1!I7/10</f>
        <v>16.937283506455689</v>
      </c>
      <c r="K11">
        <f>1.186905016*Feuil1!J7/10</f>
        <v>21.71954885570387</v>
      </c>
      <c r="L11">
        <f>1.186905016*Feuil1!K7/10</f>
        <v>37.549518161117412</v>
      </c>
      <c r="M11">
        <f>1.186905016*Feuil1!L7/10</f>
        <v>74.428629986097022</v>
      </c>
      <c r="N11">
        <f>1.186905016*Feuil1!M7/10</f>
        <v>85.585527701909513</v>
      </c>
      <c r="O11">
        <f>1.186905016*Feuil1!N7/10</f>
        <v>108.04676908678061</v>
      </c>
      <c r="P11">
        <f>1.186905016*Feuil1!O7/10</f>
        <v>111.46761528046304</v>
      </c>
      <c r="Q11">
        <f>1.186905016*Feuil1!P7/10</f>
        <v>119.1710437649198</v>
      </c>
      <c r="R11">
        <f>1.186905016*Feuil1!Q7/10</f>
        <v>131.2804846756483</v>
      </c>
      <c r="S11">
        <f>1.186905016*Feuil1!R7/10</f>
        <v>148.10217489649636</v>
      </c>
      <c r="T11">
        <f>1.186905016*Feuil1!S7/10</f>
        <v>152.29937479534442</v>
      </c>
      <c r="U11">
        <f>1.186905016*Feuil1!T7/10</f>
        <v>154.67974125715955</v>
      </c>
      <c r="V11">
        <f>1.186905016*Feuil1!U7/10</f>
        <v>156.56822926382139</v>
      </c>
      <c r="W11">
        <f>1.186905016*Feuil1!V7/10</f>
        <v>174.70219307699102</v>
      </c>
    </row>
    <row r="12" spans="1:23" x14ac:dyDescent="0.25">
      <c r="A12" t="s">
        <v>64</v>
      </c>
      <c r="B12" t="s">
        <v>33</v>
      </c>
      <c r="C12" t="s">
        <v>24</v>
      </c>
      <c r="D12" t="s">
        <v>25</v>
      </c>
      <c r="E12" t="s">
        <v>26</v>
      </c>
      <c r="F12">
        <v>0</v>
      </c>
      <c r="G12">
        <f>1.186905016*Feuil1!F13/10</f>
        <v>0.15409991849595889</v>
      </c>
      <c r="H12">
        <f>1.186905016*Feuil1!G13/10</f>
        <v>30.716545727359193</v>
      </c>
      <c r="I12">
        <f>1.186905016*Feuil1!H13/10</f>
        <v>41.207322859253097</v>
      </c>
      <c r="J12">
        <f>1.186905016*Feuil1!I13/10</f>
        <v>50.03582805773349</v>
      </c>
      <c r="K12">
        <f>1.186905016*Feuil1!J13/10</f>
        <v>63.76311781699053</v>
      </c>
      <c r="L12">
        <f>1.186905016*Feuil1!K13/10</f>
        <v>81.41721823929953</v>
      </c>
      <c r="M12">
        <f>1.186905016*Feuil1!L13/10</f>
        <v>97.614570649469456</v>
      </c>
      <c r="N12">
        <f>1.186905016*Feuil1!M13/10</f>
        <v>150.5326886060862</v>
      </c>
      <c r="O12">
        <f>1.186905016*Feuil1!N13/10</f>
        <v>176.20919054145764</v>
      </c>
      <c r="Q12">
        <f>1.186905016*Feuil1!P13/10</f>
        <v>30.135714236692905</v>
      </c>
      <c r="S12">
        <f>1.186905016*Feuil1!R13/10</f>
        <v>30.914783753117792</v>
      </c>
      <c r="U12">
        <f>1.186905016*Feuil1!T13/10</f>
        <v>36.17855051996392</v>
      </c>
      <c r="W12">
        <f>1.186905016*Feuil1!V13/10</f>
        <v>40.367124899681805</v>
      </c>
    </row>
    <row r="13" spans="1:23" x14ac:dyDescent="0.25">
      <c r="A13" t="s">
        <v>65</v>
      </c>
      <c r="B13" t="s">
        <v>33</v>
      </c>
      <c r="C13" t="s">
        <v>24</v>
      </c>
      <c r="D13" t="s">
        <v>25</v>
      </c>
      <c r="E13" t="s">
        <v>26</v>
      </c>
      <c r="F13">
        <v>0</v>
      </c>
      <c r="G13">
        <f>1.186905016*Feuil1!F19/10</f>
        <v>1.15452624716352</v>
      </c>
      <c r="H13">
        <f>1.186905016*Feuil1!G19/10</f>
        <v>10.093084184559201</v>
      </c>
      <c r="I13">
        <f>1.186905016*Feuil1!H19/10</f>
        <v>13.606928353477361</v>
      </c>
      <c r="J13">
        <f>1.186905016*Feuil1!I19/10</f>
        <v>21.444002828874563</v>
      </c>
      <c r="K13">
        <f>1.186905016*Feuil1!J19/10</f>
        <v>30.290456937028644</v>
      </c>
      <c r="L13">
        <f>1.186905016*Feuil1!K19/10</f>
        <v>40.961433304828084</v>
      </c>
      <c r="M13">
        <f>1.186905016*Feuil1!L19/10</f>
        <v>53.558186799187844</v>
      </c>
      <c r="N13">
        <f>1.186905016*Feuil1!M19/10</f>
        <v>58.623327693068163</v>
      </c>
      <c r="O13">
        <f>1.186905016*Feuil1!N19/10</f>
        <v>63.993799902314478</v>
      </c>
      <c r="Q13">
        <f>1.186905016*Feuil1!P19/10</f>
        <v>61.695750017485764</v>
      </c>
      <c r="S13">
        <f>1.186905016*Feuil1!R19/10</f>
        <v>61.575148598810003</v>
      </c>
      <c r="U13">
        <f>1.186905016*Feuil1!T19/10</f>
        <v>62.402077192507363</v>
      </c>
      <c r="W13">
        <f>1.186905016*Feuil1!V19/10</f>
        <v>64.053050200713201</v>
      </c>
    </row>
    <row r="14" spans="1:23" x14ac:dyDescent="0.25">
      <c r="A14" t="s">
        <v>63</v>
      </c>
      <c r="B14" t="s">
        <v>23</v>
      </c>
      <c r="C14" t="s">
        <v>24</v>
      </c>
      <c r="D14" t="s">
        <v>25</v>
      </c>
      <c r="E14" t="s">
        <v>26</v>
      </c>
      <c r="F14">
        <v>0</v>
      </c>
      <c r="G14">
        <f>1.186905016*Feuil1!F4/10</f>
        <v>0</v>
      </c>
      <c r="H14">
        <f>1.186905016*Feuil1!G4/10</f>
        <v>0</v>
      </c>
      <c r="I14">
        <f>1.186905016*Feuil1!H4/10</f>
        <v>0</v>
      </c>
      <c r="J14">
        <f>1.186905016*Feuil1!I4/10</f>
        <v>9.7211948700082367</v>
      </c>
      <c r="K14">
        <f>1.186905016*Feuil1!J4/10</f>
        <v>15.159039016900826</v>
      </c>
      <c r="L14">
        <f>1.186905016*Feuil1!K4/10</f>
        <v>25.082266516798892</v>
      </c>
      <c r="M14">
        <f>1.186905016*Feuil1!L4/10</f>
        <v>58.717608310249503</v>
      </c>
      <c r="N14">
        <f>1.186905016*Feuil1!M4/10</f>
        <v>65.905356601000776</v>
      </c>
      <c r="O14">
        <f>1.186905016*Feuil1!N4/10</f>
        <v>78.241713235759363</v>
      </c>
      <c r="P14">
        <f>1.186905016*Feuil1!O4/10</f>
        <v>88.303294996376408</v>
      </c>
      <c r="Q14">
        <f>1.186905016*Feuil1!P4/10</f>
        <v>93.809105361584727</v>
      </c>
      <c r="R14">
        <f>1.186905016*Feuil1!Q4/10</f>
        <v>100.56378902782453</v>
      </c>
      <c r="S14">
        <f>1.186905016*Feuil1!R4/10</f>
        <v>110.14031863254907</v>
      </c>
      <c r="T14">
        <f>1.186905016*Feuil1!S4/10</f>
        <v>112.47095013665583</v>
      </c>
      <c r="U14">
        <f>1.186905016*Feuil1!T4/10</f>
        <v>113.64697744023445</v>
      </c>
      <c r="V14">
        <f>1.186905016*Feuil1!U4/10</f>
        <v>115.40550836117097</v>
      </c>
      <c r="W14">
        <f>1.186905016*Feuil1!V4/10</f>
        <v>130.5990157233704</v>
      </c>
    </row>
    <row r="15" spans="1:23" x14ac:dyDescent="0.25">
      <c r="A15" t="s">
        <v>64</v>
      </c>
      <c r="B15" t="s">
        <v>23</v>
      </c>
      <c r="C15" t="s">
        <v>24</v>
      </c>
      <c r="D15" t="s">
        <v>25</v>
      </c>
      <c r="E15" t="s">
        <v>26</v>
      </c>
      <c r="F15">
        <v>0</v>
      </c>
      <c r="G15">
        <f>1.186905016*Feuil1!F10/10</f>
        <v>0.15409991849595889</v>
      </c>
      <c r="H15">
        <f>1.186905016*Feuil1!G10/10</f>
        <v>7.6141481689112306E-2</v>
      </c>
      <c r="I15">
        <f>1.186905016*Feuil1!H10/10</f>
        <v>3.6214578875150442E-2</v>
      </c>
      <c r="J15">
        <f>1.186905016*Feuil1!I10/10</f>
        <v>91.927016844694165</v>
      </c>
      <c r="K15">
        <f>1.186905016*Feuil1!J10/10</f>
        <v>137.65895770477727</v>
      </c>
      <c r="L15">
        <f>1.186905016*Feuil1!K10/10</f>
        <v>170.05155306033487</v>
      </c>
      <c r="M15">
        <f>1.186905016*Feuil1!L10/10</f>
        <v>238.14956304761958</v>
      </c>
      <c r="N15">
        <f>1.186905016*Feuil1!M10/10</f>
        <v>308.6110244777858</v>
      </c>
      <c r="O15">
        <f>1.186905016*Feuil1!N10/10</f>
        <v>353.62856988122354</v>
      </c>
      <c r="Q15">
        <f>1.186905016*Feuil1!P10/10</f>
        <v>548.1769861223122</v>
      </c>
      <c r="S15">
        <f>1.186905016*Feuil1!R10/10</f>
        <v>204.43011580323727</v>
      </c>
      <c r="U15">
        <f>1.186905016*Feuil1!T10/10</f>
        <v>71.432147474683433</v>
      </c>
      <c r="W15">
        <f>1.186905016*Feuil1!V10/10</f>
        <v>73.756973382077007</v>
      </c>
    </row>
    <row r="16" spans="1:23" x14ac:dyDescent="0.25">
      <c r="A16" t="s">
        <v>65</v>
      </c>
      <c r="B16" t="s">
        <v>23</v>
      </c>
      <c r="C16" t="s">
        <v>24</v>
      </c>
      <c r="D16" t="s">
        <v>25</v>
      </c>
      <c r="E16" t="s">
        <v>26</v>
      </c>
      <c r="F16">
        <v>0</v>
      </c>
      <c r="G16">
        <f>1.186905016*Feuil1!F16/10</f>
        <v>1.15452624716352</v>
      </c>
      <c r="H16">
        <f>1.186905016*Feuil1!G16/10</f>
        <v>0.75396954236383995</v>
      </c>
      <c r="I16">
        <f>1.186905016*Feuil1!H16/10</f>
        <v>0.71450495058184005</v>
      </c>
      <c r="J16">
        <f>1.186905016*Feuil1!I16/10</f>
        <v>15.117644795942482</v>
      </c>
      <c r="K16">
        <f>1.186905016*Feuil1!J16/10</f>
        <v>24.093068003135123</v>
      </c>
      <c r="L16">
        <f>1.186905016*Feuil1!K16/10</f>
        <v>34.508444375738961</v>
      </c>
      <c r="M16">
        <f>1.186905016*Feuil1!L16/10</f>
        <v>45.815827344067444</v>
      </c>
      <c r="N16">
        <f>1.186905016*Feuil1!M16/10</f>
        <v>48.621041742232975</v>
      </c>
      <c r="O16">
        <f>1.186905016*Feuil1!N16/10</f>
        <v>51.985003545730649</v>
      </c>
      <c r="Q16">
        <f>1.186905016*Feuil1!P16/10</f>
        <v>46.728094408415203</v>
      </c>
      <c r="S16">
        <f>1.186905016*Feuil1!R16/10</f>
        <v>43.519534078662403</v>
      </c>
      <c r="U16">
        <f>1.186905016*Feuil1!T16/10</f>
        <v>41.4587108993816</v>
      </c>
      <c r="W16">
        <f>1.186905016*Feuil1!V16/10</f>
        <v>40.726829659365521</v>
      </c>
    </row>
    <row r="17" spans="1:23" x14ac:dyDescent="0.25">
      <c r="A17" t="s">
        <v>63</v>
      </c>
      <c r="B17" t="s">
        <v>30</v>
      </c>
      <c r="C17" t="s">
        <v>24</v>
      </c>
      <c r="D17" t="s">
        <v>25</v>
      </c>
      <c r="E17" t="s">
        <v>26</v>
      </c>
      <c r="F17">
        <v>0</v>
      </c>
      <c r="G17">
        <f>1.186905016*Feuil1!F5/10</f>
        <v>0</v>
      </c>
      <c r="H17">
        <f>1.186905016*Feuil1!G5/10</f>
        <v>29.04414374731213</v>
      </c>
      <c r="I17">
        <f>1.186905016*Feuil1!H5/10</f>
        <v>31.232415391889511</v>
      </c>
      <c r="J17">
        <f>1.186905016*Feuil1!I5/10</f>
        <v>37.926139224221195</v>
      </c>
      <c r="K17">
        <f>1.186905016*Feuil1!J5/10</f>
        <v>49.43905402124382</v>
      </c>
      <c r="L17">
        <f>1.186905016*Feuil1!K5/10</f>
        <v>79.058412931571041</v>
      </c>
      <c r="M17">
        <f>1.186905016*Feuil1!L5/10</f>
        <v>141.43869496450881</v>
      </c>
      <c r="N17">
        <f>1.186905016*Feuil1!M5/10</f>
        <v>158.89717669328849</v>
      </c>
      <c r="O17">
        <f>1.186905016*Feuil1!N5/10</f>
        <v>210.54642339594369</v>
      </c>
      <c r="P17">
        <f>1.186905016*Feuil1!O5/10</f>
        <v>222.27593662174053</v>
      </c>
      <c r="Q17">
        <f>1.186905016*Feuil1!P5/10</f>
        <v>238.52041370526354</v>
      </c>
      <c r="R17">
        <f>1.186905016*Feuil1!Q5/10</f>
        <v>260.61414637611938</v>
      </c>
      <c r="S17">
        <f>1.186905016*Feuil1!R5/10</f>
        <v>292.70742902292164</v>
      </c>
      <c r="T17">
        <f>1.186905016*Feuil1!S5/10</f>
        <v>300.17113689778682</v>
      </c>
      <c r="U17">
        <f>1.186905016*Feuil1!T5/10</f>
        <v>294.58933116091941</v>
      </c>
      <c r="V17">
        <f>1.186905016*Feuil1!U5/10</f>
        <v>279.00603886632388</v>
      </c>
      <c r="W17">
        <f>1.186905016*Feuil1!V5/10</f>
        <v>275.00641988968698</v>
      </c>
    </row>
    <row r="18" spans="1:23" x14ac:dyDescent="0.25">
      <c r="A18" t="s">
        <v>64</v>
      </c>
      <c r="B18" t="s">
        <v>30</v>
      </c>
      <c r="C18" t="s">
        <v>24</v>
      </c>
      <c r="D18" t="s">
        <v>25</v>
      </c>
      <c r="E18" t="s">
        <v>26</v>
      </c>
      <c r="F18">
        <v>0</v>
      </c>
      <c r="G18">
        <f>1.186905016*Feuil1!F11/10</f>
        <v>0</v>
      </c>
      <c r="H18">
        <f>1.186905016*Feuil1!G11/10</f>
        <v>72.54382920783479</v>
      </c>
      <c r="I18">
        <f>1.186905016*Feuil1!H11/10</f>
        <v>88.939238170561282</v>
      </c>
      <c r="J18">
        <f>1.186905016*Feuil1!I11/10</f>
        <v>112.36991437009405</v>
      </c>
      <c r="K18">
        <f>1.186905016*Feuil1!J11/10</f>
        <v>139.96270508795661</v>
      </c>
      <c r="L18">
        <f>1.186905016*Feuil1!K11/10</f>
        <v>164.53477662762606</v>
      </c>
      <c r="M18">
        <f>1.186905016*Feuil1!L11/10</f>
        <v>238.68647626155393</v>
      </c>
      <c r="N18">
        <f>1.186905016*Feuil1!M11/10</f>
        <v>323.65597504590039</v>
      </c>
      <c r="O18">
        <f>1.186905016*Feuil1!N11/10</f>
        <v>385.0616798922332</v>
      </c>
      <c r="Q18">
        <f>1.186905016*Feuil1!P11/10</f>
        <v>73.884251452481053</v>
      </c>
      <c r="S18">
        <f>1.186905016*Feuil1!R11/10</f>
        <v>66.395740565982564</v>
      </c>
      <c r="U18">
        <f>1.186905016*Feuil1!T11/10</f>
        <v>84.564349527969696</v>
      </c>
      <c r="W18">
        <f>1.186905016*Feuil1!V11/10</f>
        <v>100.68480375174688</v>
      </c>
    </row>
    <row r="19" spans="1:23" x14ac:dyDescent="0.25">
      <c r="A19" t="s">
        <v>65</v>
      </c>
      <c r="B19" t="s">
        <v>30</v>
      </c>
      <c r="C19" t="s">
        <v>24</v>
      </c>
      <c r="D19" t="s">
        <v>25</v>
      </c>
      <c r="E19" t="s">
        <v>26</v>
      </c>
      <c r="F19">
        <v>0</v>
      </c>
      <c r="G19">
        <f>1.186905016*Feuil1!F17/10</f>
        <v>2.8225669494994401</v>
      </c>
      <c r="H19">
        <f>1.186905016*Feuil1!G17/10</f>
        <v>22.864846823528161</v>
      </c>
      <c r="I19">
        <f>1.186905016*Feuil1!H17/10</f>
        <v>30.97640495292552</v>
      </c>
      <c r="J19">
        <f>1.186905016*Feuil1!I17/10</f>
        <v>39.891960671111129</v>
      </c>
      <c r="K19">
        <f>1.186905016*Feuil1!J17/10</f>
        <v>50.8030360545972</v>
      </c>
      <c r="L19">
        <f>1.186905016*Feuil1!K17/10</f>
        <v>64.796029002628885</v>
      </c>
      <c r="M19">
        <f>1.186905016*Feuil1!L17/10</f>
        <v>83.173282913062323</v>
      </c>
      <c r="N19">
        <f>1.186905016*Feuil1!M17/10</f>
        <v>93.83509637413826</v>
      </c>
      <c r="O19">
        <f>1.186905016*Feuil1!N17/10</f>
        <v>105.02422799572264</v>
      </c>
      <c r="Q19">
        <f>1.186905016*Feuil1!P17/10</f>
        <v>127.3703973272588</v>
      </c>
      <c r="S19">
        <f>1.186905016*Feuil1!R17/10</f>
        <v>138.54694775567361</v>
      </c>
      <c r="U19">
        <f>1.186905016*Feuil1!T17/10</f>
        <v>149.96422625943353</v>
      </c>
      <c r="W19">
        <f>1.186905016*Feuil1!V17/10</f>
        <v>161.1376669967064</v>
      </c>
    </row>
  </sheetData>
  <sortState xmlns:xlrd2="http://schemas.microsoft.com/office/spreadsheetml/2017/richdata2" ref="A2:W19">
    <sortCondition ref="B8:B19"/>
    <sortCondition ref="A8:A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569F-A237-4AA2-B604-4E6FDEDD3972}">
  <dimension ref="A1:V31"/>
  <sheetViews>
    <sheetView workbookViewId="0">
      <selection activeCell="F32" sqref="F32"/>
    </sheetView>
  </sheetViews>
  <sheetFormatPr baseColWidth="10" defaultRowHeight="15.7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34</v>
      </c>
      <c r="C2" t="s">
        <v>24</v>
      </c>
      <c r="D2" t="s">
        <v>28</v>
      </c>
      <c r="E2" t="s">
        <v>29</v>
      </c>
      <c r="F2">
        <v>38613.0326379853</v>
      </c>
      <c r="G2">
        <v>35588.836843184297</v>
      </c>
      <c r="H2">
        <v>31691.670729541798</v>
      </c>
      <c r="I2">
        <v>26823.8586382588</v>
      </c>
      <c r="J2">
        <v>21933.724658089799</v>
      </c>
      <c r="K2">
        <v>17053.859449811</v>
      </c>
      <c r="L2">
        <v>11938.0080198176</v>
      </c>
      <c r="M2">
        <v>7271.5657578619603</v>
      </c>
      <c r="N2">
        <v>2536.2871570972902</v>
      </c>
      <c r="O2">
        <v>-459.25326638883701</v>
      </c>
      <c r="P2">
        <v>-1768.16425505239</v>
      </c>
      <c r="Q2">
        <v>-2699.41812909694</v>
      </c>
      <c r="R2">
        <v>-3305.1460332391698</v>
      </c>
      <c r="S2">
        <v>-3488.0622985149998</v>
      </c>
      <c r="T2">
        <v>-3556.0611555159899</v>
      </c>
      <c r="U2">
        <v>-3542.5671092788498</v>
      </c>
      <c r="V2">
        <v>-2993.2889340631</v>
      </c>
    </row>
    <row r="3" spans="1:22" x14ac:dyDescent="0.25">
      <c r="A3" t="s">
        <v>22</v>
      </c>
      <c r="B3" t="s">
        <v>31</v>
      </c>
      <c r="C3" t="s">
        <v>24</v>
      </c>
      <c r="D3" t="s">
        <v>28</v>
      </c>
      <c r="E3" t="s">
        <v>29</v>
      </c>
      <c r="F3">
        <v>38537.706079520402</v>
      </c>
      <c r="G3">
        <v>39061.7726581139</v>
      </c>
      <c r="H3">
        <v>38568.909052972398</v>
      </c>
      <c r="I3">
        <v>37659.1276327327</v>
      </c>
      <c r="J3">
        <v>36220.929172191201</v>
      </c>
      <c r="K3">
        <v>35140.151329489498</v>
      </c>
      <c r="L3">
        <v>34318.722372829703</v>
      </c>
      <c r="M3">
        <v>36438.577877837502</v>
      </c>
      <c r="N3">
        <v>38730.035513588802</v>
      </c>
      <c r="O3">
        <v>38804.805430482797</v>
      </c>
      <c r="P3">
        <v>38909.156170854403</v>
      </c>
      <c r="Q3">
        <v>39075.010560662398</v>
      </c>
      <c r="R3">
        <v>39220.632775707803</v>
      </c>
      <c r="S3">
        <v>39278.401101058203</v>
      </c>
      <c r="T3">
        <v>39409.541970821898</v>
      </c>
      <c r="U3">
        <v>39542.217558305303</v>
      </c>
      <c r="V3">
        <v>39305.830304831798</v>
      </c>
    </row>
    <row r="4" spans="1:22" x14ac:dyDescent="0.25">
      <c r="A4" t="s">
        <v>22</v>
      </c>
      <c r="B4" t="s">
        <v>23</v>
      </c>
      <c r="C4" t="s">
        <v>24</v>
      </c>
      <c r="D4" t="s">
        <v>28</v>
      </c>
      <c r="E4" t="s">
        <v>29</v>
      </c>
      <c r="F4">
        <v>38459.575223671003</v>
      </c>
      <c r="G4">
        <v>39439.4760828297</v>
      </c>
      <c r="H4">
        <v>39346.201758676601</v>
      </c>
      <c r="I4">
        <v>29474.409252043799</v>
      </c>
      <c r="J4">
        <v>20337.2238647208</v>
      </c>
      <c r="K4">
        <v>10962.0620908973</v>
      </c>
      <c r="L4">
        <v>2453.5858614573999</v>
      </c>
      <c r="M4">
        <v>-883.38364000738898</v>
      </c>
      <c r="N4">
        <v>-4240.9889704919397</v>
      </c>
      <c r="O4">
        <v>-5391.6816672565601</v>
      </c>
      <c r="P4">
        <v>-5785.1631873976403</v>
      </c>
      <c r="Q4">
        <v>-5994.7704555144201</v>
      </c>
      <c r="R4">
        <v>-6148.3074055567504</v>
      </c>
      <c r="S4">
        <v>-6011.3097487841696</v>
      </c>
      <c r="T4">
        <v>-5750.7755709835901</v>
      </c>
      <c r="U4">
        <v>-5436.7588217088996</v>
      </c>
      <c r="V4">
        <v>-4860.4790785741898</v>
      </c>
    </row>
    <row r="5" spans="1:22" x14ac:dyDescent="0.25">
      <c r="A5" t="s">
        <v>22</v>
      </c>
      <c r="B5" t="s">
        <v>30</v>
      </c>
      <c r="C5" t="s">
        <v>24</v>
      </c>
      <c r="D5" t="s">
        <v>28</v>
      </c>
      <c r="E5" t="s">
        <v>29</v>
      </c>
      <c r="F5">
        <v>38611.257005062398</v>
      </c>
      <c r="G5">
        <v>26994.424397335901</v>
      </c>
      <c r="H5">
        <v>22258.491158460001</v>
      </c>
      <c r="I5">
        <v>16466.0864599497</v>
      </c>
      <c r="J5">
        <v>10582.7573797778</v>
      </c>
      <c r="K5">
        <v>4547.4520484936102</v>
      </c>
      <c r="L5">
        <v>-1362.1225200321301</v>
      </c>
      <c r="M5">
        <v>-3195.8643493648401</v>
      </c>
      <c r="N5">
        <v>-4753.9237737039502</v>
      </c>
      <c r="O5">
        <v>-5277.5773405374803</v>
      </c>
      <c r="P5">
        <v>-5466.2531580638097</v>
      </c>
      <c r="Q5">
        <v>-5527.7580250669298</v>
      </c>
      <c r="R5">
        <v>-5536.8861877244399</v>
      </c>
      <c r="S5">
        <v>-5504.9915539805097</v>
      </c>
      <c r="T5">
        <v>-5426.2804869551601</v>
      </c>
      <c r="U5">
        <v>-5320.3393980412402</v>
      </c>
      <c r="V5">
        <v>-4800.0168143841101</v>
      </c>
    </row>
    <row r="6" spans="1:22" x14ac:dyDescent="0.25">
      <c r="A6" t="s">
        <v>22</v>
      </c>
      <c r="B6" t="s">
        <v>32</v>
      </c>
      <c r="C6" t="s">
        <v>24</v>
      </c>
      <c r="D6" t="s">
        <v>28</v>
      </c>
      <c r="E6" t="s">
        <v>29</v>
      </c>
      <c r="F6">
        <v>38708.623977933901</v>
      </c>
      <c r="G6">
        <v>36542.448775559104</v>
      </c>
      <c r="H6">
        <v>35154.725274598997</v>
      </c>
      <c r="I6">
        <v>33773.841214049098</v>
      </c>
      <c r="J6">
        <v>31011.8996518567</v>
      </c>
      <c r="K6">
        <v>28715.989668734401</v>
      </c>
      <c r="L6">
        <v>26673.756897457501</v>
      </c>
      <c r="M6">
        <v>25706.808365405799</v>
      </c>
      <c r="N6">
        <v>24269.470953682401</v>
      </c>
      <c r="O6">
        <v>23034.898487279101</v>
      </c>
      <c r="P6">
        <v>21492.904302141102</v>
      </c>
      <c r="Q6">
        <v>19968.390324407999</v>
      </c>
      <c r="R6">
        <v>18654.784185864501</v>
      </c>
      <c r="S6">
        <v>17442.118472578699</v>
      </c>
      <c r="T6">
        <v>16494.141585955502</v>
      </c>
      <c r="U6">
        <v>15642.4409023521</v>
      </c>
      <c r="V6">
        <v>14735.332824896999</v>
      </c>
    </row>
    <row r="7" spans="1:22" x14ac:dyDescent="0.25">
      <c r="A7" t="s">
        <v>22</v>
      </c>
      <c r="B7" t="s">
        <v>33</v>
      </c>
      <c r="C7" t="s">
        <v>24</v>
      </c>
      <c r="D7" t="s">
        <v>28</v>
      </c>
      <c r="E7" t="s">
        <v>29</v>
      </c>
      <c r="F7">
        <v>38406.194598863403</v>
      </c>
      <c r="G7">
        <v>31878.1745135938</v>
      </c>
      <c r="H7">
        <v>25906.152020241199</v>
      </c>
      <c r="I7">
        <v>18384.518047594</v>
      </c>
      <c r="J7">
        <v>12302.102514865999</v>
      </c>
      <c r="K7">
        <v>5979.6455923793301</v>
      </c>
      <c r="L7">
        <v>-294.81832220103502</v>
      </c>
      <c r="M7">
        <v>-2255.32722768756</v>
      </c>
      <c r="N7">
        <v>-4195.94060851005</v>
      </c>
      <c r="O7">
        <v>-4802.4276273907799</v>
      </c>
      <c r="P7">
        <v>-5089.0594532169498</v>
      </c>
      <c r="Q7">
        <v>-5282.3792120706503</v>
      </c>
      <c r="R7">
        <v>-5431.5742881013803</v>
      </c>
      <c r="S7">
        <v>-5366.2021574005003</v>
      </c>
      <c r="T7">
        <v>-5212.18376843642</v>
      </c>
      <c r="U7">
        <v>-5012.4440879106796</v>
      </c>
      <c r="V7">
        <v>-4545.04501769734</v>
      </c>
    </row>
    <row r="8" spans="1:22" x14ac:dyDescent="0.25">
      <c r="A8" t="s">
        <v>38</v>
      </c>
      <c r="B8" t="s">
        <v>34</v>
      </c>
      <c r="C8" t="s">
        <v>24</v>
      </c>
      <c r="D8" t="s">
        <v>28</v>
      </c>
      <c r="E8" t="s">
        <v>29</v>
      </c>
      <c r="F8">
        <v>41341.829628429638</v>
      </c>
      <c r="G8">
        <v>32093.757828688002</v>
      </c>
      <c r="H8">
        <v>27122.843355905079</v>
      </c>
      <c r="I8">
        <v>23828.81655455325</v>
      </c>
      <c r="J8">
        <v>20684.310191497651</v>
      </c>
      <c r="K8">
        <v>16750.095309378721</v>
      </c>
      <c r="L8">
        <v>13017.62706944516</v>
      </c>
      <c r="M8">
        <v>10737.50200481743</v>
      </c>
      <c r="N8">
        <v>8722.7741439421334</v>
      </c>
      <c r="O8" t="s">
        <v>27</v>
      </c>
      <c r="P8">
        <v>3231.8213475537509</v>
      </c>
      <c r="Q8" t="s">
        <v>27</v>
      </c>
      <c r="R8">
        <v>809.9591337310228</v>
      </c>
      <c r="S8" t="s">
        <v>27</v>
      </c>
      <c r="T8">
        <v>850.43578162823587</v>
      </c>
      <c r="U8" t="s">
        <v>27</v>
      </c>
      <c r="V8">
        <v>878.00921403981692</v>
      </c>
    </row>
    <row r="9" spans="1:22" x14ac:dyDescent="0.25">
      <c r="A9" t="s">
        <v>38</v>
      </c>
      <c r="B9" t="s">
        <v>31</v>
      </c>
      <c r="C9" t="s">
        <v>24</v>
      </c>
      <c r="D9" t="s">
        <v>28</v>
      </c>
      <c r="E9" t="s">
        <v>29</v>
      </c>
      <c r="F9">
        <v>41341.829628429638</v>
      </c>
      <c r="G9">
        <v>42693.483731043903</v>
      </c>
      <c r="H9">
        <v>44317.293867127199</v>
      </c>
      <c r="I9">
        <v>44601.773774351583</v>
      </c>
      <c r="J9">
        <v>44587.565647390802</v>
      </c>
      <c r="K9">
        <v>45551.974560561321</v>
      </c>
      <c r="L9">
        <v>46300.714971363239</v>
      </c>
      <c r="M9">
        <v>46725.418591603411</v>
      </c>
      <c r="N9">
        <v>48027.969757324478</v>
      </c>
      <c r="O9" t="s">
        <v>27</v>
      </c>
      <c r="P9">
        <v>49652.560814335928</v>
      </c>
      <c r="Q9" t="s">
        <v>27</v>
      </c>
      <c r="R9">
        <v>57374.434136805859</v>
      </c>
      <c r="S9" t="s">
        <v>27</v>
      </c>
      <c r="T9">
        <v>64467.616555299013</v>
      </c>
      <c r="U9" t="s">
        <v>27</v>
      </c>
      <c r="V9">
        <v>71241.988982534196</v>
      </c>
    </row>
    <row r="10" spans="1:22" x14ac:dyDescent="0.25">
      <c r="A10" t="s">
        <v>38</v>
      </c>
      <c r="B10" t="s">
        <v>23</v>
      </c>
      <c r="C10" t="s">
        <v>24</v>
      </c>
      <c r="D10" t="s">
        <v>28</v>
      </c>
      <c r="E10" t="s">
        <v>29</v>
      </c>
      <c r="F10">
        <v>41341.829628429638</v>
      </c>
      <c r="G10">
        <v>42693.483731043903</v>
      </c>
      <c r="H10">
        <v>44317.293867127199</v>
      </c>
      <c r="I10">
        <v>29788.683920055759</v>
      </c>
      <c r="J10">
        <v>19008.73239491491</v>
      </c>
      <c r="K10">
        <v>12775.317086310881</v>
      </c>
      <c r="L10">
        <v>8640.9798767189168</v>
      </c>
      <c r="M10">
        <v>5727.4444842140019</v>
      </c>
      <c r="N10">
        <v>3338.3527213433358</v>
      </c>
      <c r="O10" t="s">
        <v>27</v>
      </c>
      <c r="P10">
        <v>-1916.891628684592</v>
      </c>
      <c r="Q10" t="s">
        <v>27</v>
      </c>
      <c r="R10">
        <v>-5391.7962575160373</v>
      </c>
      <c r="S10" t="s">
        <v>27</v>
      </c>
      <c r="T10">
        <v>-5381.3396538417855</v>
      </c>
      <c r="U10" t="s">
        <v>27</v>
      </c>
      <c r="V10">
        <v>-5397.0033130515212</v>
      </c>
    </row>
    <row r="11" spans="1:22" x14ac:dyDescent="0.25">
      <c r="A11" t="s">
        <v>38</v>
      </c>
      <c r="B11" t="s">
        <v>30</v>
      </c>
      <c r="C11" t="s">
        <v>24</v>
      </c>
      <c r="D11" t="s">
        <v>28</v>
      </c>
      <c r="E11" t="s">
        <v>29</v>
      </c>
      <c r="F11">
        <v>41341.829628429638</v>
      </c>
      <c r="G11">
        <v>26828.106352513241</v>
      </c>
      <c r="H11">
        <v>16863.108029479881</v>
      </c>
      <c r="I11">
        <v>10533.44341534564</v>
      </c>
      <c r="J11">
        <v>7471.5531130585941</v>
      </c>
      <c r="K11">
        <v>5385.2955601605927</v>
      </c>
      <c r="L11">
        <v>3796.277983477813</v>
      </c>
      <c r="M11">
        <v>2598.7129730264119</v>
      </c>
      <c r="N11">
        <v>1385.8118810910371</v>
      </c>
      <c r="O11" t="s">
        <v>27</v>
      </c>
      <c r="P11">
        <v>709.15099001256112</v>
      </c>
      <c r="Q11" t="s">
        <v>27</v>
      </c>
      <c r="R11">
        <v>814.8909117123419</v>
      </c>
      <c r="S11" t="s">
        <v>27</v>
      </c>
      <c r="T11">
        <v>780.98725125717272</v>
      </c>
      <c r="U11" t="s">
        <v>27</v>
      </c>
      <c r="V11">
        <v>975.96346094381317</v>
      </c>
    </row>
    <row r="12" spans="1:22" x14ac:dyDescent="0.25">
      <c r="A12" t="s">
        <v>38</v>
      </c>
      <c r="B12" t="s">
        <v>32</v>
      </c>
      <c r="C12" t="s">
        <v>24</v>
      </c>
      <c r="D12" t="s">
        <v>28</v>
      </c>
      <c r="E12" t="s">
        <v>29</v>
      </c>
      <c r="F12">
        <v>41341.829628429638</v>
      </c>
      <c r="G12">
        <v>40689.747728015813</v>
      </c>
      <c r="H12">
        <v>40438.207087027047</v>
      </c>
      <c r="I12">
        <v>38499.777070215598</v>
      </c>
      <c r="J12">
        <v>36537.915684214808</v>
      </c>
      <c r="K12">
        <v>34595.595433664952</v>
      </c>
      <c r="L12">
        <v>33016.916001384277</v>
      </c>
      <c r="M12">
        <v>31084.386234527759</v>
      </c>
      <c r="N12">
        <v>30147.987198644751</v>
      </c>
      <c r="O12" t="s">
        <v>27</v>
      </c>
      <c r="P12">
        <v>28749.206109912051</v>
      </c>
      <c r="Q12" t="s">
        <v>27</v>
      </c>
      <c r="R12">
        <v>26790.688578707359</v>
      </c>
      <c r="S12" t="s">
        <v>27</v>
      </c>
      <c r="T12">
        <v>23689.208681898421</v>
      </c>
      <c r="U12" t="s">
        <v>27</v>
      </c>
      <c r="V12">
        <v>24482.796992738</v>
      </c>
    </row>
    <row r="13" spans="1:22" x14ac:dyDescent="0.25">
      <c r="A13" t="s">
        <v>38</v>
      </c>
      <c r="B13" t="s">
        <v>33</v>
      </c>
      <c r="C13" t="s">
        <v>24</v>
      </c>
      <c r="D13" t="s">
        <v>28</v>
      </c>
      <c r="E13" t="s">
        <v>29</v>
      </c>
      <c r="F13">
        <v>41341.829628429638</v>
      </c>
      <c r="G13">
        <v>27567.479388022261</v>
      </c>
      <c r="H13">
        <v>17884.38490228248</v>
      </c>
      <c r="I13">
        <v>12199.418507489339</v>
      </c>
      <c r="J13">
        <v>8936.8349949737585</v>
      </c>
      <c r="K13">
        <v>6353.5839951476337</v>
      </c>
      <c r="L13">
        <v>4354.811605020428</v>
      </c>
      <c r="M13">
        <v>2783.784306035875</v>
      </c>
      <c r="N13">
        <v>1068.4095362909379</v>
      </c>
      <c r="O13" t="s">
        <v>27</v>
      </c>
      <c r="P13">
        <v>676.40233703492459</v>
      </c>
      <c r="Q13" t="s">
        <v>27</v>
      </c>
      <c r="R13">
        <v>677.46816561486935</v>
      </c>
      <c r="S13" t="s">
        <v>27</v>
      </c>
      <c r="T13">
        <v>802.77610178249984</v>
      </c>
      <c r="U13" t="s">
        <v>27</v>
      </c>
      <c r="V13">
        <v>828.60521185305572</v>
      </c>
    </row>
    <row r="14" spans="1:22" x14ac:dyDescent="0.25">
      <c r="A14" t="s">
        <v>35</v>
      </c>
      <c r="B14" t="s">
        <v>34</v>
      </c>
      <c r="C14" t="s">
        <v>24</v>
      </c>
      <c r="D14" t="s">
        <v>28</v>
      </c>
      <c r="E14" t="s">
        <v>29</v>
      </c>
      <c r="F14">
        <v>42508.356600000006</v>
      </c>
      <c r="G14">
        <v>35354.559500000003</v>
      </c>
      <c r="H14">
        <v>30912.2693</v>
      </c>
      <c r="I14">
        <v>23809.812099999999</v>
      </c>
      <c r="J14">
        <v>18069.768599999999</v>
      </c>
      <c r="K14">
        <v>13491.4115</v>
      </c>
      <c r="L14">
        <v>10374.705900000001</v>
      </c>
      <c r="M14">
        <v>8473.7488000000012</v>
      </c>
      <c r="N14">
        <v>7385.5529000000006</v>
      </c>
      <c r="O14" t="s">
        <v>27</v>
      </c>
      <c r="P14">
        <v>6009.7754000000004</v>
      </c>
      <c r="Q14" t="s">
        <v>27</v>
      </c>
      <c r="R14">
        <v>4994.566600000001</v>
      </c>
      <c r="S14" t="s">
        <v>27</v>
      </c>
      <c r="T14">
        <v>3975.6376</v>
      </c>
      <c r="U14" t="s">
        <v>27</v>
      </c>
      <c r="V14">
        <v>2935.3113000000012</v>
      </c>
    </row>
    <row r="15" spans="1:22" x14ac:dyDescent="0.25">
      <c r="A15" t="s">
        <v>35</v>
      </c>
      <c r="B15" t="s">
        <v>31</v>
      </c>
      <c r="C15" t="s">
        <v>24</v>
      </c>
      <c r="D15" t="s">
        <v>28</v>
      </c>
      <c r="E15" t="s">
        <v>29</v>
      </c>
      <c r="F15">
        <v>42508.356600000006</v>
      </c>
      <c r="G15">
        <v>41673.560599999997</v>
      </c>
      <c r="H15">
        <v>41798.737800000003</v>
      </c>
      <c r="I15">
        <v>41753.327399999987</v>
      </c>
      <c r="J15">
        <v>42266.700099999987</v>
      </c>
      <c r="K15">
        <v>43520.906999999999</v>
      </c>
      <c r="L15">
        <v>45144.461399999993</v>
      </c>
      <c r="M15">
        <v>45583.023599999993</v>
      </c>
      <c r="N15">
        <v>45977.711899999988</v>
      </c>
      <c r="O15" t="s">
        <v>27</v>
      </c>
      <c r="P15">
        <v>46188.936099999999</v>
      </c>
      <c r="Q15" t="s">
        <v>27</v>
      </c>
      <c r="R15">
        <v>45562.326999999997</v>
      </c>
      <c r="S15" t="s">
        <v>27</v>
      </c>
      <c r="T15">
        <v>43890.7068</v>
      </c>
      <c r="U15" t="s">
        <v>27</v>
      </c>
      <c r="V15">
        <v>41655.512900000002</v>
      </c>
    </row>
    <row r="16" spans="1:22" x14ac:dyDescent="0.25">
      <c r="A16" t="s">
        <v>35</v>
      </c>
      <c r="B16" t="s">
        <v>23</v>
      </c>
      <c r="C16" t="s">
        <v>24</v>
      </c>
      <c r="D16" t="s">
        <v>28</v>
      </c>
      <c r="E16" t="s">
        <v>29</v>
      </c>
      <c r="F16">
        <v>42508.356600000006</v>
      </c>
      <c r="G16">
        <v>41673.560599999997</v>
      </c>
      <c r="H16">
        <v>41798.737800000003</v>
      </c>
      <c r="I16">
        <v>27738.9709</v>
      </c>
      <c r="J16">
        <v>16860.786800000009</v>
      </c>
      <c r="K16">
        <v>10270.3006</v>
      </c>
      <c r="L16">
        <v>6672.2494999999999</v>
      </c>
      <c r="M16">
        <v>4932.5433999999996</v>
      </c>
      <c r="N16">
        <v>3893.2640999999999</v>
      </c>
      <c r="O16" t="s">
        <v>27</v>
      </c>
      <c r="P16">
        <v>2817.7730999999999</v>
      </c>
      <c r="Q16" t="s">
        <v>27</v>
      </c>
      <c r="R16">
        <v>3013.9261999999999</v>
      </c>
      <c r="S16" t="s">
        <v>27</v>
      </c>
      <c r="T16">
        <v>3194.4569000000001</v>
      </c>
      <c r="U16" t="s">
        <v>27</v>
      </c>
      <c r="V16">
        <v>2438.4922000000001</v>
      </c>
    </row>
    <row r="17" spans="1:22" x14ac:dyDescent="0.25">
      <c r="A17" t="s">
        <v>35</v>
      </c>
      <c r="B17" t="s">
        <v>30</v>
      </c>
      <c r="C17" t="s">
        <v>24</v>
      </c>
      <c r="D17" t="s">
        <v>28</v>
      </c>
      <c r="E17" t="s">
        <v>29</v>
      </c>
      <c r="F17">
        <v>42508.356600000006</v>
      </c>
      <c r="G17">
        <v>29792.989399999999</v>
      </c>
      <c r="H17">
        <v>21602.959699999999</v>
      </c>
      <c r="I17">
        <v>13862.739600000001</v>
      </c>
      <c r="J17">
        <v>8563.8600999999981</v>
      </c>
      <c r="K17">
        <v>5159.6706000000004</v>
      </c>
      <c r="L17">
        <v>3125.9888000000001</v>
      </c>
      <c r="M17">
        <v>2128.9351999999999</v>
      </c>
      <c r="N17">
        <v>1434.2301</v>
      </c>
      <c r="O17" t="s">
        <v>27</v>
      </c>
      <c r="P17">
        <v>143.65729999999999</v>
      </c>
      <c r="Q17" t="s">
        <v>27</v>
      </c>
      <c r="R17">
        <v>-619.94299999999998</v>
      </c>
      <c r="S17" t="s">
        <v>27</v>
      </c>
      <c r="T17">
        <v>-1458.2186999999999</v>
      </c>
      <c r="U17" t="s">
        <v>27</v>
      </c>
      <c r="V17">
        <v>-2609.4112</v>
      </c>
    </row>
    <row r="18" spans="1:22" x14ac:dyDescent="0.25">
      <c r="A18" t="s">
        <v>35</v>
      </c>
      <c r="B18" t="s">
        <v>32</v>
      </c>
      <c r="C18" t="s">
        <v>24</v>
      </c>
      <c r="D18" t="s">
        <v>28</v>
      </c>
      <c r="E18" t="s">
        <v>29</v>
      </c>
      <c r="F18">
        <v>42508.356600000006</v>
      </c>
      <c r="G18">
        <v>39618.271399999991</v>
      </c>
      <c r="H18">
        <v>38033.132999999987</v>
      </c>
      <c r="I18">
        <v>34991.889300000003</v>
      </c>
      <c r="J18">
        <v>31336.737700000001</v>
      </c>
      <c r="K18">
        <v>28703.441800000001</v>
      </c>
      <c r="L18">
        <v>27560.617099999999</v>
      </c>
      <c r="M18">
        <v>26407.343199999999</v>
      </c>
      <c r="N18">
        <v>25028.5743</v>
      </c>
      <c r="O18" t="s">
        <v>27</v>
      </c>
      <c r="P18">
        <v>21037.1083</v>
      </c>
      <c r="Q18" t="s">
        <v>27</v>
      </c>
      <c r="R18">
        <v>17946.0386</v>
      </c>
      <c r="S18" t="s">
        <v>27</v>
      </c>
      <c r="T18">
        <v>15325.450800000001</v>
      </c>
      <c r="U18" t="s">
        <v>27</v>
      </c>
      <c r="V18">
        <v>13720.38</v>
      </c>
    </row>
    <row r="19" spans="1:22" x14ac:dyDescent="0.25">
      <c r="A19" t="s">
        <v>35</v>
      </c>
      <c r="B19" t="s">
        <v>33</v>
      </c>
      <c r="C19" t="s">
        <v>24</v>
      </c>
      <c r="D19" t="s">
        <v>28</v>
      </c>
      <c r="E19" t="s">
        <v>29</v>
      </c>
      <c r="F19">
        <v>42508.356600000006</v>
      </c>
      <c r="G19">
        <v>30772.055899999999</v>
      </c>
      <c r="H19">
        <v>23406.248</v>
      </c>
      <c r="I19">
        <v>15274.3968</v>
      </c>
      <c r="J19">
        <v>8951.6035000000011</v>
      </c>
      <c r="K19">
        <v>4919.3684000000003</v>
      </c>
      <c r="L19">
        <v>2391.5162</v>
      </c>
      <c r="M19">
        <v>745.75959999999998</v>
      </c>
      <c r="N19">
        <v>-466.60649999999998</v>
      </c>
      <c r="O19" t="s">
        <v>27</v>
      </c>
      <c r="P19">
        <v>-1708.7215000000001</v>
      </c>
      <c r="Q19" t="s">
        <v>27</v>
      </c>
      <c r="R19">
        <v>-1852.6998000000001</v>
      </c>
      <c r="S19" t="s">
        <v>27</v>
      </c>
      <c r="T19">
        <v>-2439.0837999999999</v>
      </c>
      <c r="U19" t="s">
        <v>27</v>
      </c>
      <c r="V19">
        <v>-3471.0987</v>
      </c>
    </row>
    <row r="20" spans="1:22" x14ac:dyDescent="0.25">
      <c r="A20" t="s">
        <v>36</v>
      </c>
      <c r="B20" t="s">
        <v>34</v>
      </c>
      <c r="C20" t="s">
        <v>24</v>
      </c>
      <c r="D20" t="s">
        <v>28</v>
      </c>
      <c r="E20" t="s">
        <v>29</v>
      </c>
      <c r="F20">
        <v>42557.087200000002</v>
      </c>
      <c r="G20">
        <v>30875.341700000001</v>
      </c>
      <c r="H20">
        <v>25180.5399</v>
      </c>
      <c r="I20">
        <v>18692.697199999999</v>
      </c>
      <c r="J20">
        <v>14502.135899999999</v>
      </c>
      <c r="K20">
        <v>11682.844300000001</v>
      </c>
      <c r="L20">
        <v>10201.3349</v>
      </c>
      <c r="M20">
        <v>9121.8052000000007</v>
      </c>
      <c r="N20">
        <v>8268.1323000000011</v>
      </c>
      <c r="O20" t="s">
        <v>27</v>
      </c>
      <c r="P20">
        <v>7264.7914000000001</v>
      </c>
      <c r="Q20" t="s">
        <v>27</v>
      </c>
      <c r="R20">
        <v>6218.8736999999992</v>
      </c>
      <c r="S20" t="s">
        <v>27</v>
      </c>
      <c r="T20">
        <v>4129.9071999999996</v>
      </c>
      <c r="U20" t="s">
        <v>27</v>
      </c>
      <c r="V20">
        <v>1262.6315</v>
      </c>
    </row>
    <row r="21" spans="1:22" x14ac:dyDescent="0.25">
      <c r="A21" t="s">
        <v>36</v>
      </c>
      <c r="B21" t="s">
        <v>31</v>
      </c>
      <c r="C21" t="s">
        <v>24</v>
      </c>
      <c r="D21" t="s">
        <v>28</v>
      </c>
      <c r="E21" t="s">
        <v>29</v>
      </c>
      <c r="F21">
        <v>42557.087200000002</v>
      </c>
      <c r="G21">
        <v>41156.150600000001</v>
      </c>
      <c r="H21">
        <v>41448.279499999997</v>
      </c>
      <c r="I21">
        <v>41318.545299999998</v>
      </c>
      <c r="J21">
        <v>41217.355900000002</v>
      </c>
      <c r="K21">
        <v>41615.928899999999</v>
      </c>
      <c r="L21">
        <v>42525.520399999987</v>
      </c>
      <c r="M21">
        <v>42623.717399999987</v>
      </c>
      <c r="N21">
        <v>42796.375800000002</v>
      </c>
      <c r="O21" t="s">
        <v>27</v>
      </c>
      <c r="P21">
        <v>42513.766699999993</v>
      </c>
      <c r="Q21" t="s">
        <v>27</v>
      </c>
      <c r="R21">
        <v>41253.730699999993</v>
      </c>
      <c r="S21" t="s">
        <v>27</v>
      </c>
      <c r="T21">
        <v>39077.933900000004</v>
      </c>
      <c r="U21" t="s">
        <v>27</v>
      </c>
      <c r="V21">
        <v>36121.819000000003</v>
      </c>
    </row>
    <row r="22" spans="1:22" x14ac:dyDescent="0.25">
      <c r="A22" t="s">
        <v>36</v>
      </c>
      <c r="B22" t="s">
        <v>23</v>
      </c>
      <c r="C22" t="s">
        <v>24</v>
      </c>
      <c r="D22" t="s">
        <v>28</v>
      </c>
      <c r="E22" t="s">
        <v>29</v>
      </c>
      <c r="F22">
        <v>42557.087200000002</v>
      </c>
      <c r="G22">
        <v>41156.150600000001</v>
      </c>
      <c r="H22">
        <v>41448.279499999997</v>
      </c>
      <c r="I22">
        <v>23350.581099999999</v>
      </c>
      <c r="J22">
        <v>13927.0708</v>
      </c>
      <c r="K22">
        <v>8884.6592999999993</v>
      </c>
      <c r="L22">
        <v>6549.1726000000008</v>
      </c>
      <c r="M22">
        <v>5050.3193000000001</v>
      </c>
      <c r="N22">
        <v>4159.6528000000008</v>
      </c>
      <c r="O22" t="s">
        <v>27</v>
      </c>
      <c r="P22">
        <v>3455.9584</v>
      </c>
      <c r="Q22" t="s">
        <v>27</v>
      </c>
      <c r="R22">
        <v>3711.9416999999999</v>
      </c>
      <c r="S22" t="s">
        <v>27</v>
      </c>
      <c r="T22">
        <v>3596.8420000000001</v>
      </c>
      <c r="U22" t="s">
        <v>27</v>
      </c>
      <c r="V22">
        <v>1780.8304000000001</v>
      </c>
    </row>
    <row r="23" spans="1:22" x14ac:dyDescent="0.25">
      <c r="A23" t="s">
        <v>36</v>
      </c>
      <c r="B23" t="s">
        <v>30</v>
      </c>
      <c r="C23" t="s">
        <v>24</v>
      </c>
      <c r="D23" t="s">
        <v>28</v>
      </c>
      <c r="E23" t="s">
        <v>29</v>
      </c>
      <c r="F23">
        <v>42557.087200000002</v>
      </c>
      <c r="G23">
        <v>26962.017899999999</v>
      </c>
      <c r="H23">
        <v>18896.8943</v>
      </c>
      <c r="I23">
        <v>12144.3017</v>
      </c>
      <c r="J23">
        <v>8106.2390999999998</v>
      </c>
      <c r="K23">
        <v>5740.4651000000003</v>
      </c>
      <c r="L23">
        <v>4311.7145</v>
      </c>
      <c r="M23">
        <v>3349.6332000000002</v>
      </c>
      <c r="N23">
        <v>2661.9243999999999</v>
      </c>
      <c r="O23" t="s">
        <v>27</v>
      </c>
      <c r="P23">
        <v>1397.0530000000001</v>
      </c>
      <c r="Q23" t="s">
        <v>27</v>
      </c>
      <c r="R23">
        <v>256.19240000000002</v>
      </c>
      <c r="S23" t="s">
        <v>27</v>
      </c>
      <c r="T23">
        <v>-930.22979999999995</v>
      </c>
      <c r="U23" t="s">
        <v>27</v>
      </c>
      <c r="V23">
        <v>-2218.5587</v>
      </c>
    </row>
    <row r="24" spans="1:22" x14ac:dyDescent="0.25">
      <c r="A24" t="s">
        <v>36</v>
      </c>
      <c r="B24" t="s">
        <v>32</v>
      </c>
      <c r="C24" t="s">
        <v>24</v>
      </c>
      <c r="D24" t="s">
        <v>28</v>
      </c>
      <c r="E24" t="s">
        <v>29</v>
      </c>
      <c r="F24">
        <v>42557.087200000002</v>
      </c>
      <c r="G24">
        <v>39528.781899999987</v>
      </c>
      <c r="H24">
        <v>37799.864200000004</v>
      </c>
      <c r="I24">
        <v>34552.474199999997</v>
      </c>
      <c r="J24">
        <v>30648.2372</v>
      </c>
      <c r="K24">
        <v>27495.0838</v>
      </c>
      <c r="L24">
        <v>25668.070899999999</v>
      </c>
      <c r="M24">
        <v>24091.988400000009</v>
      </c>
      <c r="N24">
        <v>22643.1528</v>
      </c>
      <c r="O24" t="s">
        <v>27</v>
      </c>
      <c r="P24">
        <v>18768.1414</v>
      </c>
      <c r="Q24" t="s">
        <v>27</v>
      </c>
      <c r="R24">
        <v>15944.0816</v>
      </c>
      <c r="S24" t="s">
        <v>27</v>
      </c>
      <c r="T24">
        <v>13583.7351</v>
      </c>
      <c r="U24" t="s">
        <v>27</v>
      </c>
      <c r="V24">
        <v>12106.6068</v>
      </c>
    </row>
    <row r="25" spans="1:22" x14ac:dyDescent="0.25">
      <c r="A25" t="s">
        <v>36</v>
      </c>
      <c r="B25" t="s">
        <v>33</v>
      </c>
      <c r="C25" t="s">
        <v>24</v>
      </c>
      <c r="D25" t="s">
        <v>28</v>
      </c>
      <c r="E25" t="s">
        <v>29</v>
      </c>
      <c r="F25">
        <v>42557.087200000002</v>
      </c>
      <c r="G25">
        <v>28530.6459</v>
      </c>
      <c r="H25">
        <v>21156.665700000001</v>
      </c>
      <c r="I25">
        <v>13815.3012</v>
      </c>
      <c r="J25">
        <v>8697.8973999999998</v>
      </c>
      <c r="K25">
        <v>5375.5646999999999</v>
      </c>
      <c r="L25">
        <v>3496.4439000000002</v>
      </c>
      <c r="M25">
        <v>2290.1642999999999</v>
      </c>
      <c r="N25">
        <v>1423.4011</v>
      </c>
      <c r="O25" t="s">
        <v>27</v>
      </c>
      <c r="P25">
        <v>614.10609999999997</v>
      </c>
      <c r="Q25" t="s">
        <v>27</v>
      </c>
      <c r="R25">
        <v>300.17480000000012</v>
      </c>
      <c r="S25" t="s">
        <v>27</v>
      </c>
      <c r="T25">
        <v>-514.59410000000003</v>
      </c>
      <c r="U25" t="s">
        <v>27</v>
      </c>
      <c r="V25">
        <v>-1602.7184999999999</v>
      </c>
    </row>
    <row r="26" spans="1:22" x14ac:dyDescent="0.25">
      <c r="A26" t="s">
        <v>37</v>
      </c>
      <c r="B26" t="s">
        <v>34</v>
      </c>
      <c r="C26" t="s">
        <v>24</v>
      </c>
      <c r="D26" t="s">
        <v>28</v>
      </c>
      <c r="E26" t="s">
        <v>29</v>
      </c>
      <c r="F26">
        <v>42636.311300000001</v>
      </c>
      <c r="G26">
        <v>34118.862200000003</v>
      </c>
      <c r="H26">
        <v>29129.205300000001</v>
      </c>
      <c r="I26">
        <v>22000.342199999999</v>
      </c>
      <c r="J26">
        <v>16957.678500000002</v>
      </c>
      <c r="K26">
        <v>13062.7387</v>
      </c>
      <c r="L26">
        <v>10636.358</v>
      </c>
      <c r="M26">
        <v>9115.4305000000004</v>
      </c>
      <c r="N26">
        <v>8156.0371999999998</v>
      </c>
      <c r="O26" t="s">
        <v>27</v>
      </c>
      <c r="P26">
        <v>6855.1289000000006</v>
      </c>
      <c r="Q26" t="s">
        <v>27</v>
      </c>
      <c r="R26">
        <v>5673.3584000000001</v>
      </c>
      <c r="S26" t="s">
        <v>27</v>
      </c>
      <c r="T26">
        <v>4346.5941000000003</v>
      </c>
      <c r="U26" t="s">
        <v>27</v>
      </c>
      <c r="V26">
        <v>3134.558</v>
      </c>
    </row>
    <row r="27" spans="1:22" x14ac:dyDescent="0.25">
      <c r="A27" t="s">
        <v>37</v>
      </c>
      <c r="B27" t="s">
        <v>31</v>
      </c>
      <c r="C27" t="s">
        <v>24</v>
      </c>
      <c r="D27" t="s">
        <v>28</v>
      </c>
      <c r="E27" t="s">
        <v>29</v>
      </c>
      <c r="F27">
        <v>42636.311300000001</v>
      </c>
      <c r="G27">
        <v>41482.527099999992</v>
      </c>
      <c r="H27">
        <v>41597.252500000002</v>
      </c>
      <c r="I27">
        <v>41503.358300000007</v>
      </c>
      <c r="J27">
        <v>41652.624900000003</v>
      </c>
      <c r="K27">
        <v>42420.230199999998</v>
      </c>
      <c r="L27">
        <v>43672.9539</v>
      </c>
      <c r="M27">
        <v>44063.425600000002</v>
      </c>
      <c r="N27">
        <v>44535.843000000001</v>
      </c>
      <c r="O27" t="s">
        <v>27</v>
      </c>
      <c r="P27">
        <v>44679.508000000002</v>
      </c>
      <c r="Q27" t="s">
        <v>27</v>
      </c>
      <c r="R27">
        <v>43854.317900000002</v>
      </c>
      <c r="S27" t="s">
        <v>27</v>
      </c>
      <c r="T27">
        <v>42030.063299999987</v>
      </c>
      <c r="U27" t="s">
        <v>27</v>
      </c>
      <c r="V27">
        <v>39633.250800000002</v>
      </c>
    </row>
    <row r="28" spans="1:22" x14ac:dyDescent="0.25">
      <c r="A28" t="s">
        <v>37</v>
      </c>
      <c r="B28" t="s">
        <v>23</v>
      </c>
      <c r="C28" t="s">
        <v>24</v>
      </c>
      <c r="D28" t="s">
        <v>28</v>
      </c>
      <c r="E28" t="s">
        <v>29</v>
      </c>
      <c r="F28">
        <v>42636.311300000001</v>
      </c>
      <c r="G28">
        <v>41482.527099999992</v>
      </c>
      <c r="H28">
        <v>41597.252500000002</v>
      </c>
      <c r="I28">
        <v>26593.959900000002</v>
      </c>
      <c r="J28">
        <v>16060.242399999999</v>
      </c>
      <c r="K28">
        <v>10106.937400000001</v>
      </c>
      <c r="L28">
        <v>6960.4160000000002</v>
      </c>
      <c r="M28">
        <v>5375.6116000000011</v>
      </c>
      <c r="N28">
        <v>4144.7718000000004</v>
      </c>
      <c r="O28" t="s">
        <v>27</v>
      </c>
      <c r="P28">
        <v>2904.7464</v>
      </c>
      <c r="Q28" t="s">
        <v>27</v>
      </c>
      <c r="R28">
        <v>3124.5952000000002</v>
      </c>
      <c r="S28" t="s">
        <v>27</v>
      </c>
      <c r="T28">
        <v>3424.9328</v>
      </c>
      <c r="U28" t="s">
        <v>27</v>
      </c>
      <c r="V28">
        <v>2673.2058999999999</v>
      </c>
    </row>
    <row r="29" spans="1:22" x14ac:dyDescent="0.25">
      <c r="A29" t="s">
        <v>37</v>
      </c>
      <c r="B29" t="s">
        <v>30</v>
      </c>
      <c r="C29" t="s">
        <v>24</v>
      </c>
      <c r="D29" t="s">
        <v>28</v>
      </c>
      <c r="E29" t="s">
        <v>29</v>
      </c>
      <c r="F29">
        <v>42636.311300000001</v>
      </c>
      <c r="G29">
        <v>28884.248899999999</v>
      </c>
      <c r="H29">
        <v>20527.794900000001</v>
      </c>
      <c r="I29">
        <v>13034.149799999999</v>
      </c>
      <c r="J29">
        <v>8522.1204000000016</v>
      </c>
      <c r="K29">
        <v>5491.7924999999996</v>
      </c>
      <c r="L29">
        <v>3710.8207000000002</v>
      </c>
      <c r="M29">
        <v>2665.852100000001</v>
      </c>
      <c r="N29">
        <v>1879.9553000000001</v>
      </c>
      <c r="O29" t="s">
        <v>27</v>
      </c>
      <c r="P29">
        <v>523.83549999999991</v>
      </c>
      <c r="Q29" t="s">
        <v>27</v>
      </c>
      <c r="R29">
        <v>-423.39659999999998</v>
      </c>
      <c r="S29" t="s">
        <v>27</v>
      </c>
      <c r="T29">
        <v>-1470.6523</v>
      </c>
      <c r="U29" t="s">
        <v>27</v>
      </c>
      <c r="V29">
        <v>-2849.4043000000001</v>
      </c>
    </row>
    <row r="30" spans="1:22" x14ac:dyDescent="0.25">
      <c r="A30" t="s">
        <v>37</v>
      </c>
      <c r="B30" t="s">
        <v>32</v>
      </c>
      <c r="C30" t="s">
        <v>24</v>
      </c>
      <c r="D30" t="s">
        <v>28</v>
      </c>
      <c r="E30" t="s">
        <v>29</v>
      </c>
      <c r="F30">
        <v>42636.311300000001</v>
      </c>
      <c r="G30">
        <v>39741.834000000003</v>
      </c>
      <c r="H30">
        <v>37998.655899999998</v>
      </c>
      <c r="I30">
        <v>34769.1803</v>
      </c>
      <c r="J30">
        <v>30920.486400000009</v>
      </c>
      <c r="K30">
        <v>27953.902900000001</v>
      </c>
      <c r="L30">
        <v>26426.3812</v>
      </c>
      <c r="M30">
        <v>25178.388200000001</v>
      </c>
      <c r="N30">
        <v>23989.9447</v>
      </c>
      <c r="O30" t="s">
        <v>27</v>
      </c>
      <c r="P30">
        <v>20204.7971</v>
      </c>
      <c r="Q30" t="s">
        <v>27</v>
      </c>
      <c r="R30">
        <v>17360.554800000002</v>
      </c>
      <c r="S30" t="s">
        <v>27</v>
      </c>
      <c r="T30">
        <v>14897.009099999999</v>
      </c>
      <c r="U30" t="s">
        <v>27</v>
      </c>
      <c r="V30">
        <v>13305.061900000001</v>
      </c>
    </row>
    <row r="31" spans="1:22" x14ac:dyDescent="0.25">
      <c r="A31" t="s">
        <v>37</v>
      </c>
      <c r="B31" t="s">
        <v>33</v>
      </c>
      <c r="C31" t="s">
        <v>24</v>
      </c>
      <c r="D31" t="s">
        <v>28</v>
      </c>
      <c r="E31" t="s">
        <v>29</v>
      </c>
      <c r="F31">
        <v>42636.311300000001</v>
      </c>
      <c r="G31">
        <v>30102.497800000001</v>
      </c>
      <c r="H31">
        <v>22494.984199999999</v>
      </c>
      <c r="I31">
        <v>14495.083199999999</v>
      </c>
      <c r="J31">
        <v>8989.2957000000006</v>
      </c>
      <c r="K31">
        <v>5252.7633999999998</v>
      </c>
      <c r="L31">
        <v>2983.9362000000001</v>
      </c>
      <c r="M31">
        <v>1520.6618000000001</v>
      </c>
      <c r="N31">
        <v>419.06</v>
      </c>
      <c r="O31" t="s">
        <v>27</v>
      </c>
      <c r="P31">
        <v>-791.57300000000009</v>
      </c>
      <c r="Q31" t="s">
        <v>27</v>
      </c>
      <c r="R31">
        <v>-1142.8758</v>
      </c>
      <c r="S31" t="s">
        <v>27</v>
      </c>
      <c r="T31">
        <v>-1833.992</v>
      </c>
      <c r="U31" t="s">
        <v>27</v>
      </c>
      <c r="V31">
        <v>-3106.1196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6A7B-912B-4258-83B8-ED1950FBC568}">
  <dimension ref="A1:V31"/>
  <sheetViews>
    <sheetView workbookViewId="0">
      <selection activeCell="E13" sqref="A1:V31"/>
    </sheetView>
  </sheetViews>
  <sheetFormatPr baseColWidth="10" defaultRowHeight="15.7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34</v>
      </c>
      <c r="C2" t="s">
        <v>24</v>
      </c>
      <c r="D2" t="s">
        <v>25</v>
      </c>
      <c r="E2" t="s">
        <v>26</v>
      </c>
      <c r="F2">
        <v>0</v>
      </c>
      <c r="G2">
        <v>40.453778577272701</v>
      </c>
      <c r="H2">
        <v>64.333290591818198</v>
      </c>
      <c r="I2">
        <v>91.387917777272705</v>
      </c>
      <c r="J2">
        <v>119.728301236364</v>
      </c>
      <c r="K2">
        <v>166.23050884363599</v>
      </c>
      <c r="L2">
        <v>248.055872727273</v>
      </c>
      <c r="M2">
        <v>347.27822181818198</v>
      </c>
      <c r="N2">
        <v>486.18951054545499</v>
      </c>
      <c r="O2">
        <v>680.66531476363696</v>
      </c>
      <c r="P2">
        <v>748.73184623999998</v>
      </c>
      <c r="Q2">
        <v>823.60337715818196</v>
      </c>
      <c r="R2">
        <v>905.96619543272698</v>
      </c>
      <c r="S2">
        <v>933.144850554546</v>
      </c>
      <c r="T2">
        <v>961.13795579181794</v>
      </c>
      <c r="U2">
        <v>989.974450996364</v>
      </c>
      <c r="V2">
        <v>1019.67087322636</v>
      </c>
    </row>
    <row r="3" spans="1:22" x14ac:dyDescent="0.25">
      <c r="A3" t="s">
        <v>22</v>
      </c>
      <c r="B3" t="s">
        <v>31</v>
      </c>
      <c r="C3" t="s">
        <v>24</v>
      </c>
      <c r="D3" t="s">
        <v>25</v>
      </c>
      <c r="E3" t="s">
        <v>26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0</v>
      </c>
      <c r="G4">
        <v>0</v>
      </c>
      <c r="H4">
        <v>0</v>
      </c>
      <c r="I4">
        <v>81.903730618392103</v>
      </c>
      <c r="J4">
        <v>127.719057654575</v>
      </c>
      <c r="K4">
        <v>211.32496854153399</v>
      </c>
      <c r="L4">
        <v>494.71194003488398</v>
      </c>
      <c r="M4">
        <v>555.27068899842595</v>
      </c>
      <c r="N4">
        <v>659.20787410135404</v>
      </c>
      <c r="O4">
        <v>743.97945754722798</v>
      </c>
      <c r="P4">
        <v>790.36741859708104</v>
      </c>
      <c r="Q4">
        <v>847.27747942910798</v>
      </c>
      <c r="R4">
        <v>927.96236554576205</v>
      </c>
      <c r="S4">
        <v>947.59857461631805</v>
      </c>
      <c r="T4">
        <v>957.50692690841595</v>
      </c>
      <c r="U4">
        <v>972.323031796598</v>
      </c>
      <c r="V4">
        <v>1100.33249470546</v>
      </c>
    </row>
    <row r="5" spans="1:22" x14ac:dyDescent="0.25">
      <c r="A5" t="s">
        <v>22</v>
      </c>
      <c r="B5" t="s">
        <v>30</v>
      </c>
      <c r="C5" t="s">
        <v>24</v>
      </c>
      <c r="D5" t="s">
        <v>25</v>
      </c>
      <c r="E5" t="s">
        <v>26</v>
      </c>
      <c r="F5">
        <v>0</v>
      </c>
      <c r="G5">
        <v>244.704869857186</v>
      </c>
      <c r="H5">
        <v>263.14165810122</v>
      </c>
      <c r="I5">
        <v>319.538115628127</v>
      </c>
      <c r="J5">
        <v>416.53757760548399</v>
      </c>
      <c r="K5">
        <v>666.08879283370595</v>
      </c>
      <c r="L5">
        <v>1191.65976264194</v>
      </c>
      <c r="M5">
        <v>1338.75225524608</v>
      </c>
      <c r="N5">
        <v>1773.91131183781</v>
      </c>
      <c r="O5">
        <v>1872.73567493071</v>
      </c>
      <c r="P5">
        <v>2009.5998457324199</v>
      </c>
      <c r="Q5">
        <v>2195.7455976925398</v>
      </c>
      <c r="R5">
        <v>2466.1402983144999</v>
      </c>
      <c r="S5">
        <v>2529.0240823936902</v>
      </c>
      <c r="T5">
        <v>2481.9958395130702</v>
      </c>
      <c r="U5">
        <v>2350.7023317384301</v>
      </c>
      <c r="V5">
        <v>2317.0044458695502</v>
      </c>
    </row>
    <row r="6" spans="1:22" x14ac:dyDescent="0.25">
      <c r="A6" t="s">
        <v>22</v>
      </c>
      <c r="B6" t="s">
        <v>32</v>
      </c>
      <c r="C6" t="s">
        <v>24</v>
      </c>
      <c r="D6" t="s">
        <v>25</v>
      </c>
      <c r="E6" t="s">
        <v>26</v>
      </c>
      <c r="F6">
        <v>0</v>
      </c>
      <c r="G6">
        <v>47.789164433422201</v>
      </c>
      <c r="H6">
        <v>52.913157202009202</v>
      </c>
      <c r="I6">
        <v>59.491008041389399</v>
      </c>
      <c r="J6">
        <v>79.566685681385096</v>
      </c>
      <c r="K6">
        <v>92.068869218565197</v>
      </c>
      <c r="L6">
        <v>103.461394047604</v>
      </c>
      <c r="M6">
        <v>107.590313652422</v>
      </c>
      <c r="N6">
        <v>120.74712039209</v>
      </c>
      <c r="O6">
        <v>124.61748526207801</v>
      </c>
      <c r="P6">
        <v>139.64125423140499</v>
      </c>
      <c r="Q6">
        <v>152.40460858436899</v>
      </c>
      <c r="R6">
        <v>157.20397267870001</v>
      </c>
      <c r="S6">
        <v>163.53070805482</v>
      </c>
      <c r="T6">
        <v>169.39598101857899</v>
      </c>
      <c r="U6">
        <v>174.33012253506701</v>
      </c>
      <c r="V6">
        <v>192.988616362991</v>
      </c>
    </row>
    <row r="7" spans="1:22" x14ac:dyDescent="0.25">
      <c r="A7" t="s">
        <v>22</v>
      </c>
      <c r="B7" t="s">
        <v>33</v>
      </c>
      <c r="C7" t="s">
        <v>24</v>
      </c>
      <c r="D7" t="s">
        <v>25</v>
      </c>
      <c r="E7" t="s">
        <v>26</v>
      </c>
      <c r="F7">
        <v>0</v>
      </c>
      <c r="G7">
        <v>69.658397634985306</v>
      </c>
      <c r="H7">
        <v>103.967953608909</v>
      </c>
      <c r="I7">
        <v>142.70125476035301</v>
      </c>
      <c r="J7">
        <v>182.99315078220101</v>
      </c>
      <c r="K7">
        <v>316.36497996834999</v>
      </c>
      <c r="L7">
        <v>627.08160284745998</v>
      </c>
      <c r="M7">
        <v>721.08152335847501</v>
      </c>
      <c r="N7">
        <v>910.32363694030096</v>
      </c>
      <c r="O7">
        <v>939.14520351528301</v>
      </c>
      <c r="P7">
        <v>1004.04869941943</v>
      </c>
      <c r="Q7">
        <v>1106.0740573671001</v>
      </c>
      <c r="R7">
        <v>1247.8014070208999</v>
      </c>
      <c r="S7">
        <v>1283.16396630128</v>
      </c>
      <c r="T7">
        <v>1303.2192060190901</v>
      </c>
      <c r="U7">
        <v>1319.1302349658399</v>
      </c>
      <c r="V7">
        <v>1471.9138492291199</v>
      </c>
    </row>
    <row r="8" spans="1:22" x14ac:dyDescent="0.25">
      <c r="A8" t="s">
        <v>38</v>
      </c>
      <c r="B8" t="s">
        <v>34</v>
      </c>
      <c r="C8" t="s">
        <v>24</v>
      </c>
      <c r="D8" t="s">
        <v>25</v>
      </c>
      <c r="E8" t="s">
        <v>26</v>
      </c>
      <c r="F8">
        <v>1.2983340403707491</v>
      </c>
      <c r="G8">
        <v>49.255820270638942</v>
      </c>
      <c r="H8">
        <v>68.026389894933459</v>
      </c>
      <c r="I8">
        <v>85.495786978899517</v>
      </c>
      <c r="J8">
        <v>109.7586714579453</v>
      </c>
      <c r="K8">
        <v>139.39820896777519</v>
      </c>
      <c r="L8">
        <v>180.0205100120792</v>
      </c>
      <c r="M8">
        <v>211.52058116229719</v>
      </c>
      <c r="N8">
        <v>302.06532857073938</v>
      </c>
      <c r="O8" t="s">
        <v>27</v>
      </c>
      <c r="P8">
        <v>418.28187951500018</v>
      </c>
      <c r="Q8" t="s">
        <v>27</v>
      </c>
      <c r="R8">
        <v>412.99069978442998</v>
      </c>
      <c r="S8" t="s">
        <v>27</v>
      </c>
      <c r="T8">
        <v>316.07269635368579</v>
      </c>
      <c r="U8" t="s">
        <v>27</v>
      </c>
      <c r="V8">
        <v>386.09601830828939</v>
      </c>
    </row>
    <row r="9" spans="1:22" x14ac:dyDescent="0.25">
      <c r="A9" t="s">
        <v>38</v>
      </c>
      <c r="B9" t="s">
        <v>31</v>
      </c>
      <c r="C9" t="s">
        <v>24</v>
      </c>
      <c r="D9" t="s">
        <v>25</v>
      </c>
      <c r="E9" t="s">
        <v>26</v>
      </c>
      <c r="F9">
        <v>1.2983340403707491</v>
      </c>
      <c r="G9">
        <v>0.64151284780746354</v>
      </c>
      <c r="H9">
        <v>0.3051177506789679</v>
      </c>
      <c r="I9">
        <v>1.3378202131199619</v>
      </c>
      <c r="J9">
        <v>2.4464579544091118</v>
      </c>
      <c r="K9">
        <v>3.5454372265941991</v>
      </c>
      <c r="L9">
        <v>4.6450197601421381</v>
      </c>
      <c r="M9">
        <v>5.7461071253783729</v>
      </c>
      <c r="N9">
        <v>6.8394043281882784</v>
      </c>
      <c r="O9" t="s">
        <v>27</v>
      </c>
      <c r="P9">
        <v>9.0427719780717393</v>
      </c>
      <c r="Q9" t="s">
        <v>27</v>
      </c>
      <c r="R9">
        <v>11.22184803298444</v>
      </c>
      <c r="S9" t="s">
        <v>27</v>
      </c>
      <c r="T9">
        <v>13.399960282859849</v>
      </c>
      <c r="U9" t="s">
        <v>27</v>
      </c>
      <c r="V9">
        <v>15.574824400000001</v>
      </c>
    </row>
    <row r="10" spans="1:22" x14ac:dyDescent="0.25">
      <c r="A10" t="s">
        <v>38</v>
      </c>
      <c r="B10" t="s">
        <v>23</v>
      </c>
      <c r="C10" t="s">
        <v>24</v>
      </c>
      <c r="D10" t="s">
        <v>25</v>
      </c>
      <c r="E10" t="s">
        <v>26</v>
      </c>
      <c r="F10">
        <v>1.2983340403707491</v>
      </c>
      <c r="G10">
        <v>0.64151284780746354</v>
      </c>
      <c r="H10">
        <v>0.3051177506789679</v>
      </c>
      <c r="I10">
        <v>774.51030710526675</v>
      </c>
      <c r="J10">
        <v>1159.8144404908071</v>
      </c>
      <c r="K10">
        <v>1432.7309327028311</v>
      </c>
      <c r="L10">
        <v>2006.4753273198701</v>
      </c>
      <c r="M10">
        <v>2600.1324479850859</v>
      </c>
      <c r="N10">
        <v>2979.4176038870451</v>
      </c>
      <c r="O10" t="s">
        <v>27</v>
      </c>
      <c r="P10">
        <v>4618.5413216107954</v>
      </c>
      <c r="Q10" t="s">
        <v>27</v>
      </c>
      <c r="R10">
        <v>1722.379744355527</v>
      </c>
      <c r="S10" t="s">
        <v>27</v>
      </c>
      <c r="T10">
        <v>601.83541658133345</v>
      </c>
      <c r="U10" t="s">
        <v>27</v>
      </c>
      <c r="V10">
        <v>621.42271190870929</v>
      </c>
    </row>
    <row r="11" spans="1:22" x14ac:dyDescent="0.25">
      <c r="A11" t="s">
        <v>38</v>
      </c>
      <c r="B11" t="s">
        <v>30</v>
      </c>
      <c r="C11" t="s">
        <v>24</v>
      </c>
      <c r="D11" t="s">
        <v>25</v>
      </c>
      <c r="E11" t="s">
        <v>26</v>
      </c>
      <c r="F11">
        <v>0</v>
      </c>
      <c r="G11">
        <v>611.20163981036524</v>
      </c>
      <c r="H11">
        <v>749.33745305328864</v>
      </c>
      <c r="I11">
        <v>946.74732059683242</v>
      </c>
      <c r="J11">
        <v>1179.2241434756611</v>
      </c>
      <c r="K11">
        <v>1386.250579529323</v>
      </c>
      <c r="L11">
        <v>2010.998968274256</v>
      </c>
      <c r="M11">
        <v>2726.8902791956889</v>
      </c>
      <c r="N11">
        <v>3244.2501691494508</v>
      </c>
      <c r="O11" t="s">
        <v>27</v>
      </c>
      <c r="P11">
        <v>622.49506452908145</v>
      </c>
      <c r="Q11" t="s">
        <v>27</v>
      </c>
      <c r="R11">
        <v>559.40230828026563</v>
      </c>
      <c r="S11" t="s">
        <v>27</v>
      </c>
      <c r="T11">
        <v>712.4778174159278</v>
      </c>
      <c r="U11" t="s">
        <v>27</v>
      </c>
      <c r="V11">
        <v>848.2970616390661</v>
      </c>
    </row>
    <row r="12" spans="1:22" x14ac:dyDescent="0.25">
      <c r="A12" t="s">
        <v>38</v>
      </c>
      <c r="B12" t="s">
        <v>32</v>
      </c>
      <c r="C12" t="s">
        <v>24</v>
      </c>
      <c r="D12" t="s">
        <v>25</v>
      </c>
      <c r="E12" t="s">
        <v>26</v>
      </c>
      <c r="F12">
        <v>1.2983340403707491</v>
      </c>
      <c r="G12">
        <v>5.3388073033631249</v>
      </c>
      <c r="H12">
        <v>20.333069007424541</v>
      </c>
      <c r="I12">
        <v>39.989395615318017</v>
      </c>
      <c r="J12">
        <v>43.279749997832887</v>
      </c>
      <c r="K12">
        <v>47.942119473321071</v>
      </c>
      <c r="L12">
        <v>53.210846377806462</v>
      </c>
      <c r="M12">
        <v>58.546762809098468</v>
      </c>
      <c r="N12">
        <v>63.99219197122283</v>
      </c>
      <c r="O12" t="s">
        <v>27</v>
      </c>
      <c r="P12">
        <v>75.772089165544131</v>
      </c>
      <c r="Q12" t="s">
        <v>27</v>
      </c>
      <c r="R12">
        <v>87.745738268868934</v>
      </c>
      <c r="S12" t="s">
        <v>27</v>
      </c>
      <c r="T12">
        <v>99.721150124362126</v>
      </c>
      <c r="U12" t="s">
        <v>27</v>
      </c>
      <c r="V12">
        <v>111.660192</v>
      </c>
    </row>
    <row r="13" spans="1:22" x14ac:dyDescent="0.25">
      <c r="A13" t="s">
        <v>38</v>
      </c>
      <c r="B13" t="s">
        <v>33</v>
      </c>
      <c r="C13" t="s">
        <v>24</v>
      </c>
      <c r="D13" t="s">
        <v>25</v>
      </c>
      <c r="E13" t="s">
        <v>26</v>
      </c>
      <c r="F13">
        <v>1.2983340403707491</v>
      </c>
      <c r="G13">
        <v>258.79531481699621</v>
      </c>
      <c r="H13">
        <v>347.18298687561611</v>
      </c>
      <c r="I13">
        <v>421.56556239318718</v>
      </c>
      <c r="J13">
        <v>537.22174021876845</v>
      </c>
      <c r="K13">
        <v>685.96237392006708</v>
      </c>
      <c r="L13">
        <v>822.42950643549602</v>
      </c>
      <c r="M13">
        <v>1268.2791510427501</v>
      </c>
      <c r="N13">
        <v>1484.610715820394</v>
      </c>
      <c r="O13" t="s">
        <v>27</v>
      </c>
      <c r="P13">
        <v>253.90165034649161</v>
      </c>
      <c r="Q13" t="s">
        <v>27</v>
      </c>
      <c r="R13">
        <v>260.46552450594572</v>
      </c>
      <c r="S13" t="s">
        <v>27</v>
      </c>
      <c r="T13">
        <v>304.81420191389532</v>
      </c>
      <c r="U13" t="s">
        <v>27</v>
      </c>
      <c r="V13">
        <v>340.10408883200643</v>
      </c>
    </row>
    <row r="14" spans="1:22" x14ac:dyDescent="0.25">
      <c r="A14" t="s">
        <v>35</v>
      </c>
      <c r="B14" t="s">
        <v>34</v>
      </c>
      <c r="C14" t="s">
        <v>24</v>
      </c>
      <c r="D14" t="s">
        <v>25</v>
      </c>
      <c r="E14" t="s">
        <v>26</v>
      </c>
      <c r="F14">
        <v>9.7271999999999981</v>
      </c>
      <c r="G14">
        <v>35.311500000000002</v>
      </c>
      <c r="H14">
        <v>47.526500000000013</v>
      </c>
      <c r="I14">
        <v>61.993100000000013</v>
      </c>
      <c r="J14">
        <v>80.291300000000007</v>
      </c>
      <c r="K14">
        <v>104.04300000000001</v>
      </c>
      <c r="L14">
        <v>134.85120000000001</v>
      </c>
      <c r="M14">
        <v>151.70480000000001</v>
      </c>
      <c r="N14">
        <v>168.56450000000001</v>
      </c>
      <c r="O14" t="s">
        <v>27</v>
      </c>
      <c r="P14">
        <v>202.2784</v>
      </c>
      <c r="Q14" t="s">
        <v>27</v>
      </c>
      <c r="R14">
        <v>235.99629999999999</v>
      </c>
      <c r="S14" t="s">
        <v>27</v>
      </c>
      <c r="T14">
        <v>269.7</v>
      </c>
      <c r="U14" t="s">
        <v>27</v>
      </c>
      <c r="V14">
        <v>303.43069999999989</v>
      </c>
    </row>
    <row r="15" spans="1:22" x14ac:dyDescent="0.25">
      <c r="A15" t="s">
        <v>35</v>
      </c>
      <c r="B15" t="s">
        <v>31</v>
      </c>
      <c r="C15" t="s">
        <v>24</v>
      </c>
      <c r="D15" t="s">
        <v>25</v>
      </c>
      <c r="E15" t="s">
        <v>26</v>
      </c>
      <c r="F15">
        <v>9.7271999999999981</v>
      </c>
      <c r="G15">
        <v>6.3523999999999994</v>
      </c>
      <c r="H15">
        <v>6.0198999999999998</v>
      </c>
      <c r="I15">
        <v>5.8456999999999999</v>
      </c>
      <c r="J15">
        <v>5.8045999999999998</v>
      </c>
      <c r="K15">
        <v>5.9102000000000006</v>
      </c>
      <c r="L15">
        <v>6.0909000000000004</v>
      </c>
      <c r="M15">
        <v>6.3827999999999996</v>
      </c>
      <c r="N15">
        <v>6.7577999999999996</v>
      </c>
      <c r="O15" t="s">
        <v>27</v>
      </c>
      <c r="P15">
        <v>7.8050999999999986</v>
      </c>
      <c r="Q15" t="s">
        <v>27</v>
      </c>
      <c r="R15">
        <v>9.2548999999999992</v>
      </c>
      <c r="S15" t="s">
        <v>27</v>
      </c>
      <c r="T15">
        <v>11.1738</v>
      </c>
      <c r="U15" t="s">
        <v>27</v>
      </c>
      <c r="V15">
        <v>14.0611</v>
      </c>
    </row>
    <row r="16" spans="1:22" x14ac:dyDescent="0.25">
      <c r="A16" t="s">
        <v>35</v>
      </c>
      <c r="B16" t="s">
        <v>23</v>
      </c>
      <c r="C16" t="s">
        <v>24</v>
      </c>
      <c r="D16" t="s">
        <v>25</v>
      </c>
      <c r="E16" t="s">
        <v>26</v>
      </c>
      <c r="F16">
        <v>9.7271999999999981</v>
      </c>
      <c r="G16">
        <v>6.3523999999999994</v>
      </c>
      <c r="H16">
        <v>6.0198999999999998</v>
      </c>
      <c r="I16">
        <v>127.3703</v>
      </c>
      <c r="J16">
        <v>202.9907</v>
      </c>
      <c r="K16">
        <v>290.74310000000003</v>
      </c>
      <c r="L16">
        <v>386.01089999999999</v>
      </c>
      <c r="M16">
        <v>409.64560000000012</v>
      </c>
      <c r="N16">
        <v>437.98790000000002</v>
      </c>
      <c r="O16" t="s">
        <v>27</v>
      </c>
      <c r="P16">
        <v>393.697</v>
      </c>
      <c r="Q16" t="s">
        <v>27</v>
      </c>
      <c r="R16">
        <v>366.66399999999999</v>
      </c>
      <c r="S16" t="s">
        <v>27</v>
      </c>
      <c r="T16">
        <v>349.30099999999999</v>
      </c>
      <c r="U16" t="s">
        <v>27</v>
      </c>
      <c r="V16">
        <v>343.13470000000001</v>
      </c>
    </row>
    <row r="17" spans="1:22" x14ac:dyDescent="0.25">
      <c r="A17" t="s">
        <v>35</v>
      </c>
      <c r="B17" t="s">
        <v>30</v>
      </c>
      <c r="C17" t="s">
        <v>24</v>
      </c>
      <c r="D17" t="s">
        <v>25</v>
      </c>
      <c r="E17" t="s">
        <v>26</v>
      </c>
      <c r="F17">
        <v>23.780899999999999</v>
      </c>
      <c r="G17">
        <v>192.64259999999999</v>
      </c>
      <c r="H17">
        <v>260.98469999999998</v>
      </c>
      <c r="I17">
        <v>336.10070000000002</v>
      </c>
      <c r="J17">
        <v>428.02949999999998</v>
      </c>
      <c r="K17">
        <v>545.92430000000002</v>
      </c>
      <c r="L17">
        <v>700.7577</v>
      </c>
      <c r="M17">
        <v>790.58640000000003</v>
      </c>
      <c r="N17">
        <v>884.85789999999986</v>
      </c>
      <c r="O17" t="s">
        <v>27</v>
      </c>
      <c r="P17">
        <v>1073.1305</v>
      </c>
      <c r="Q17" t="s">
        <v>27</v>
      </c>
      <c r="R17">
        <v>1167.296</v>
      </c>
      <c r="S17" t="s">
        <v>27</v>
      </c>
      <c r="T17">
        <v>1263.4897000000001</v>
      </c>
      <c r="U17" t="s">
        <v>27</v>
      </c>
      <c r="V17">
        <v>1357.6289999999999</v>
      </c>
    </row>
    <row r="18" spans="1:22" x14ac:dyDescent="0.25">
      <c r="A18" t="s">
        <v>35</v>
      </c>
      <c r="B18" t="s">
        <v>32</v>
      </c>
      <c r="C18" t="s">
        <v>24</v>
      </c>
      <c r="D18" t="s">
        <v>25</v>
      </c>
      <c r="E18" t="s">
        <v>26</v>
      </c>
      <c r="F18">
        <v>9.7271999999999981</v>
      </c>
      <c r="G18">
        <v>25.019600000000001</v>
      </c>
      <c r="H18">
        <v>35.614899999999999</v>
      </c>
      <c r="I18">
        <v>38.644100000000002</v>
      </c>
      <c r="J18">
        <v>42.235700000000008</v>
      </c>
      <c r="K18">
        <v>46.427199999999999</v>
      </c>
      <c r="L18">
        <v>50.666100000000007</v>
      </c>
      <c r="M18">
        <v>54.793400000000013</v>
      </c>
      <c r="N18">
        <v>58.908299999999997</v>
      </c>
      <c r="O18" t="s">
        <v>27</v>
      </c>
      <c r="P18">
        <v>67.591600000000014</v>
      </c>
      <c r="Q18" t="s">
        <v>27</v>
      </c>
      <c r="R18">
        <v>76.280500000000004</v>
      </c>
      <c r="S18" t="s">
        <v>27</v>
      </c>
      <c r="T18">
        <v>87.290500000000009</v>
      </c>
      <c r="U18" t="s">
        <v>27</v>
      </c>
      <c r="V18">
        <v>100.8023</v>
      </c>
    </row>
    <row r="19" spans="1:22" x14ac:dyDescent="0.25">
      <c r="A19" t="s">
        <v>35</v>
      </c>
      <c r="B19" t="s">
        <v>33</v>
      </c>
      <c r="C19" t="s">
        <v>24</v>
      </c>
      <c r="D19" t="s">
        <v>25</v>
      </c>
      <c r="E19" t="s">
        <v>26</v>
      </c>
      <c r="F19">
        <v>9.7271999999999981</v>
      </c>
      <c r="G19">
        <v>85.037000000000006</v>
      </c>
      <c r="H19">
        <v>114.6421</v>
      </c>
      <c r="I19">
        <v>180.67160000000001</v>
      </c>
      <c r="J19">
        <v>255.2054</v>
      </c>
      <c r="K19">
        <v>345.11130000000003</v>
      </c>
      <c r="L19">
        <v>451.24239999999998</v>
      </c>
      <c r="M19">
        <v>493.91759999999999</v>
      </c>
      <c r="N19">
        <v>539.1653</v>
      </c>
      <c r="O19" t="s">
        <v>27</v>
      </c>
      <c r="P19">
        <v>519.80359999999996</v>
      </c>
      <c r="Q19" t="s">
        <v>27</v>
      </c>
      <c r="R19">
        <v>518.78750000000002</v>
      </c>
      <c r="S19" t="s">
        <v>27</v>
      </c>
      <c r="T19">
        <v>525.75459999999998</v>
      </c>
      <c r="U19" t="s">
        <v>27</v>
      </c>
      <c r="V19">
        <v>539.66449999999998</v>
      </c>
    </row>
    <row r="20" spans="1:22" x14ac:dyDescent="0.25">
      <c r="A20" t="s">
        <v>36</v>
      </c>
      <c r="B20" t="s">
        <v>34</v>
      </c>
      <c r="C20" t="s">
        <v>24</v>
      </c>
      <c r="D20" t="s">
        <v>25</v>
      </c>
      <c r="E20" t="s">
        <v>26</v>
      </c>
      <c r="F20">
        <v>9.4494000000000007</v>
      </c>
      <c r="G20">
        <v>73.671499999999995</v>
      </c>
      <c r="H20">
        <v>82.074999999999989</v>
      </c>
      <c r="I20">
        <v>92.243099999999998</v>
      </c>
      <c r="J20">
        <v>101.9935</v>
      </c>
      <c r="K20">
        <v>110.7825</v>
      </c>
      <c r="L20">
        <v>119.16970000000001</v>
      </c>
      <c r="M20">
        <v>127.48560000000001</v>
      </c>
      <c r="N20">
        <v>140.1566</v>
      </c>
      <c r="O20" t="s">
        <v>27</v>
      </c>
      <c r="P20">
        <v>148.0282</v>
      </c>
      <c r="Q20" t="s">
        <v>27</v>
      </c>
      <c r="R20">
        <v>175.55719999999999</v>
      </c>
      <c r="S20" t="s">
        <v>27</v>
      </c>
      <c r="T20">
        <v>236.35830000000001</v>
      </c>
      <c r="U20" t="s">
        <v>27</v>
      </c>
      <c r="V20">
        <v>327.31040000000002</v>
      </c>
    </row>
    <row r="21" spans="1:22" x14ac:dyDescent="0.25">
      <c r="A21" t="s">
        <v>36</v>
      </c>
      <c r="B21" t="s">
        <v>31</v>
      </c>
      <c r="C21" t="s">
        <v>24</v>
      </c>
      <c r="D21" t="s">
        <v>25</v>
      </c>
      <c r="E21" t="s">
        <v>26</v>
      </c>
      <c r="F21">
        <v>9.4494000000000007</v>
      </c>
      <c r="G21">
        <v>6.1168999999999993</v>
      </c>
      <c r="H21">
        <v>5.8076999999999996</v>
      </c>
      <c r="I21">
        <v>5.6534000000000004</v>
      </c>
      <c r="J21">
        <v>5.6421999999999999</v>
      </c>
      <c r="K21">
        <v>5.7823000000000002</v>
      </c>
      <c r="L21">
        <v>5.9920999999999998</v>
      </c>
      <c r="M21">
        <v>6.3048999999999991</v>
      </c>
      <c r="N21">
        <v>6.6932999999999998</v>
      </c>
      <c r="O21" t="s">
        <v>27</v>
      </c>
      <c r="P21">
        <v>7.7617000000000003</v>
      </c>
      <c r="Q21" t="s">
        <v>27</v>
      </c>
      <c r="R21">
        <v>9.2390000000000008</v>
      </c>
      <c r="S21" t="s">
        <v>27</v>
      </c>
      <c r="T21">
        <v>11.1699</v>
      </c>
      <c r="U21" t="s">
        <v>27</v>
      </c>
      <c r="V21">
        <v>14.0624</v>
      </c>
    </row>
    <row r="22" spans="1:22" x14ac:dyDescent="0.25">
      <c r="A22" t="s">
        <v>36</v>
      </c>
      <c r="B22" t="s">
        <v>23</v>
      </c>
      <c r="C22" t="s">
        <v>24</v>
      </c>
      <c r="D22" t="s">
        <v>25</v>
      </c>
      <c r="E22" t="s">
        <v>26</v>
      </c>
      <c r="F22">
        <v>9.4494000000000007</v>
      </c>
      <c r="G22">
        <v>6.1168999999999993</v>
      </c>
      <c r="H22">
        <v>5.8076999999999996</v>
      </c>
      <c r="I22">
        <v>163.09229999999999</v>
      </c>
      <c r="J22">
        <v>235.5136</v>
      </c>
      <c r="K22">
        <v>308.59449999999998</v>
      </c>
      <c r="L22">
        <v>383.68779999999998</v>
      </c>
      <c r="M22">
        <v>399.67509999999999</v>
      </c>
      <c r="N22">
        <v>425.37119999999999</v>
      </c>
      <c r="O22" t="s">
        <v>27</v>
      </c>
      <c r="P22">
        <v>343.43679999999989</v>
      </c>
      <c r="Q22" t="s">
        <v>27</v>
      </c>
      <c r="R22">
        <v>318.14069999999998</v>
      </c>
      <c r="S22" t="s">
        <v>27</v>
      </c>
      <c r="T22">
        <v>298.49669999999992</v>
      </c>
      <c r="U22" t="s">
        <v>27</v>
      </c>
      <c r="V22">
        <v>314.03230000000002</v>
      </c>
    </row>
    <row r="23" spans="1:22" x14ac:dyDescent="0.25">
      <c r="A23" t="s">
        <v>36</v>
      </c>
      <c r="B23" t="s">
        <v>30</v>
      </c>
      <c r="C23" t="s">
        <v>24</v>
      </c>
      <c r="D23" t="s">
        <v>25</v>
      </c>
      <c r="E23" t="s">
        <v>26</v>
      </c>
      <c r="F23">
        <v>23.134399999999999</v>
      </c>
      <c r="G23">
        <v>255.0872</v>
      </c>
      <c r="H23">
        <v>303.49169999999992</v>
      </c>
      <c r="I23">
        <v>354.58649999999989</v>
      </c>
      <c r="J23">
        <v>410.67410000000001</v>
      </c>
      <c r="K23">
        <v>477.19670000000002</v>
      </c>
      <c r="L23">
        <v>561.71800000000007</v>
      </c>
      <c r="M23">
        <v>620.72289999999998</v>
      </c>
      <c r="N23">
        <v>691.11080000000004</v>
      </c>
      <c r="O23" t="s">
        <v>27</v>
      </c>
      <c r="P23">
        <v>773.08280000000002</v>
      </c>
      <c r="Q23" t="s">
        <v>27</v>
      </c>
      <c r="R23">
        <v>961.59410000000003</v>
      </c>
      <c r="S23" t="s">
        <v>27</v>
      </c>
      <c r="T23">
        <v>1127.9491</v>
      </c>
      <c r="U23" t="s">
        <v>27</v>
      </c>
      <c r="V23">
        <v>1321.4958999999999</v>
      </c>
    </row>
    <row r="24" spans="1:22" x14ac:dyDescent="0.25">
      <c r="A24" t="s">
        <v>36</v>
      </c>
      <c r="B24" t="s">
        <v>32</v>
      </c>
      <c r="C24" t="s">
        <v>24</v>
      </c>
      <c r="D24" t="s">
        <v>25</v>
      </c>
      <c r="E24" t="s">
        <v>26</v>
      </c>
      <c r="F24">
        <v>9.4494000000000007</v>
      </c>
      <c r="G24">
        <v>23.9969</v>
      </c>
      <c r="H24">
        <v>34.142400000000002</v>
      </c>
      <c r="I24">
        <v>37.393799999999999</v>
      </c>
      <c r="J24">
        <v>41.111400000000003</v>
      </c>
      <c r="K24">
        <v>45.4056</v>
      </c>
      <c r="L24">
        <v>49.750900000000001</v>
      </c>
      <c r="M24">
        <v>53.974699999999999</v>
      </c>
      <c r="N24">
        <v>58.141800000000003</v>
      </c>
      <c r="O24" t="s">
        <v>27</v>
      </c>
      <c r="P24">
        <v>67.197500000000005</v>
      </c>
      <c r="Q24" t="s">
        <v>27</v>
      </c>
      <c r="R24">
        <v>75.971600000000009</v>
      </c>
      <c r="S24" t="s">
        <v>27</v>
      </c>
      <c r="T24">
        <v>87.140100000000004</v>
      </c>
      <c r="U24" t="s">
        <v>27</v>
      </c>
      <c r="V24">
        <v>100.80329999999999</v>
      </c>
    </row>
    <row r="25" spans="1:22" x14ac:dyDescent="0.25">
      <c r="A25" t="s">
        <v>36</v>
      </c>
      <c r="B25" t="s">
        <v>33</v>
      </c>
      <c r="C25" t="s">
        <v>24</v>
      </c>
      <c r="D25" t="s">
        <v>25</v>
      </c>
      <c r="E25" t="s">
        <v>26</v>
      </c>
      <c r="F25">
        <v>9.4494000000000007</v>
      </c>
      <c r="G25">
        <v>105.00749999999999</v>
      </c>
      <c r="H25">
        <v>124.3857</v>
      </c>
      <c r="I25">
        <v>187.8699</v>
      </c>
      <c r="J25">
        <v>252.1309</v>
      </c>
      <c r="K25">
        <v>323.09820000000002</v>
      </c>
      <c r="L25">
        <v>400.4058</v>
      </c>
      <c r="M25">
        <v>427.44450000000001</v>
      </c>
      <c r="N25">
        <v>461.78769999999997</v>
      </c>
      <c r="O25" t="s">
        <v>27</v>
      </c>
      <c r="P25">
        <v>425.77980000000002</v>
      </c>
      <c r="Q25" t="s">
        <v>27</v>
      </c>
      <c r="R25">
        <v>447.62009999999998</v>
      </c>
      <c r="S25" t="s">
        <v>27</v>
      </c>
      <c r="T25">
        <v>460.11860000000001</v>
      </c>
      <c r="U25" t="s">
        <v>27</v>
      </c>
      <c r="V25">
        <v>489.24829999999997</v>
      </c>
    </row>
    <row r="26" spans="1:22" x14ac:dyDescent="0.25">
      <c r="A26" t="s">
        <v>37</v>
      </c>
      <c r="B26" t="s">
        <v>34</v>
      </c>
      <c r="C26" t="s">
        <v>24</v>
      </c>
      <c r="D26" t="s">
        <v>25</v>
      </c>
      <c r="E26" t="s">
        <v>26</v>
      </c>
      <c r="F26">
        <v>9.5607000000000006</v>
      </c>
      <c r="G26">
        <v>47.438499999999998</v>
      </c>
      <c r="H26">
        <v>57.736400000000003</v>
      </c>
      <c r="I26">
        <v>70.021600000000007</v>
      </c>
      <c r="J26">
        <v>84.255899999999997</v>
      </c>
      <c r="K26">
        <v>101.59229999999999</v>
      </c>
      <c r="L26">
        <v>122.9178</v>
      </c>
      <c r="M26">
        <v>136.16030000000001</v>
      </c>
      <c r="N26">
        <v>151.6027</v>
      </c>
      <c r="O26" t="s">
        <v>27</v>
      </c>
      <c r="P26">
        <v>176.41900000000001</v>
      </c>
      <c r="Q26" t="s">
        <v>27</v>
      </c>
      <c r="R26">
        <v>208.27440000000001</v>
      </c>
      <c r="S26" t="s">
        <v>27</v>
      </c>
      <c r="T26">
        <v>239.84180000000001</v>
      </c>
      <c r="U26" t="s">
        <v>27</v>
      </c>
      <c r="V26">
        <v>273.19889999999998</v>
      </c>
    </row>
    <row r="27" spans="1:22" x14ac:dyDescent="0.25">
      <c r="A27" t="s">
        <v>37</v>
      </c>
      <c r="B27" t="s">
        <v>31</v>
      </c>
      <c r="C27" t="s">
        <v>24</v>
      </c>
      <c r="D27" t="s">
        <v>25</v>
      </c>
      <c r="E27" t="s">
        <v>26</v>
      </c>
      <c r="F27">
        <v>9.5607000000000006</v>
      </c>
      <c r="G27">
        <v>6.2027000000000001</v>
      </c>
      <c r="H27">
        <v>5.8897000000000004</v>
      </c>
      <c r="I27">
        <v>5.7312000000000012</v>
      </c>
      <c r="J27">
        <v>5.7082000000000006</v>
      </c>
      <c r="K27">
        <v>5.8313000000000006</v>
      </c>
      <c r="L27">
        <v>6.0265000000000004</v>
      </c>
      <c r="M27">
        <v>6.3296999999999999</v>
      </c>
      <c r="N27">
        <v>6.7132000000000014</v>
      </c>
      <c r="O27" t="s">
        <v>27</v>
      </c>
      <c r="P27">
        <v>7.773200000000001</v>
      </c>
      <c r="Q27" t="s">
        <v>27</v>
      </c>
      <c r="R27">
        <v>9.2396999999999991</v>
      </c>
      <c r="S27" t="s">
        <v>27</v>
      </c>
      <c r="T27">
        <v>11.1693</v>
      </c>
      <c r="U27" t="s">
        <v>27</v>
      </c>
      <c r="V27">
        <v>14.061500000000001</v>
      </c>
    </row>
    <row r="28" spans="1:22" x14ac:dyDescent="0.25">
      <c r="A28" t="s">
        <v>37</v>
      </c>
      <c r="B28" t="s">
        <v>23</v>
      </c>
      <c r="C28" t="s">
        <v>24</v>
      </c>
      <c r="D28" t="s">
        <v>25</v>
      </c>
      <c r="E28" t="s">
        <v>26</v>
      </c>
      <c r="F28">
        <v>9.5607000000000006</v>
      </c>
      <c r="G28">
        <v>6.2027000000000001</v>
      </c>
      <c r="H28">
        <v>5.8897000000000004</v>
      </c>
      <c r="I28">
        <v>139.7724</v>
      </c>
      <c r="J28">
        <v>213.44130000000001</v>
      </c>
      <c r="K28">
        <v>296.22370000000001</v>
      </c>
      <c r="L28">
        <v>382.48090000000002</v>
      </c>
      <c r="M28">
        <v>400.53949999999998</v>
      </c>
      <c r="N28">
        <v>427.90629999999987</v>
      </c>
      <c r="O28" t="s">
        <v>27</v>
      </c>
      <c r="P28">
        <v>376.96890000000002</v>
      </c>
      <c r="Q28" t="s">
        <v>27</v>
      </c>
      <c r="R28">
        <v>348.46319999999997</v>
      </c>
      <c r="S28" t="s">
        <v>27</v>
      </c>
      <c r="T28">
        <v>329.27460000000002</v>
      </c>
      <c r="U28" t="s">
        <v>27</v>
      </c>
      <c r="V28">
        <v>322.94740000000002</v>
      </c>
    </row>
    <row r="29" spans="1:22" x14ac:dyDescent="0.25">
      <c r="A29" t="s">
        <v>37</v>
      </c>
      <c r="B29" t="s">
        <v>30</v>
      </c>
      <c r="C29" t="s">
        <v>24</v>
      </c>
      <c r="D29" t="s">
        <v>25</v>
      </c>
      <c r="E29" t="s">
        <v>26</v>
      </c>
      <c r="F29">
        <v>23.386600000000001</v>
      </c>
      <c r="G29">
        <v>211.3081</v>
      </c>
      <c r="H29">
        <v>270.72250000000003</v>
      </c>
      <c r="I29">
        <v>335.80470000000003</v>
      </c>
      <c r="J29">
        <v>411.45170000000002</v>
      </c>
      <c r="K29">
        <v>509.51109999999989</v>
      </c>
      <c r="L29">
        <v>634.4428999999999</v>
      </c>
      <c r="M29">
        <v>711.65589999999997</v>
      </c>
      <c r="N29">
        <v>796.96139999999991</v>
      </c>
      <c r="O29" t="s">
        <v>27</v>
      </c>
      <c r="P29">
        <v>954.58900000000006</v>
      </c>
      <c r="Q29" t="s">
        <v>27</v>
      </c>
      <c r="R29">
        <v>1138.6279</v>
      </c>
      <c r="S29" t="s">
        <v>27</v>
      </c>
      <c r="T29">
        <v>1261.3072</v>
      </c>
      <c r="U29" t="s">
        <v>27</v>
      </c>
      <c r="V29">
        <v>1386.2238</v>
      </c>
    </row>
    <row r="30" spans="1:22" x14ac:dyDescent="0.25">
      <c r="A30" t="s">
        <v>37</v>
      </c>
      <c r="B30" t="s">
        <v>32</v>
      </c>
      <c r="C30" t="s">
        <v>24</v>
      </c>
      <c r="D30" t="s">
        <v>25</v>
      </c>
      <c r="E30" t="s">
        <v>26</v>
      </c>
      <c r="F30">
        <v>9.5607000000000006</v>
      </c>
      <c r="G30">
        <v>24.3935</v>
      </c>
      <c r="H30">
        <v>34.735200000000013</v>
      </c>
      <c r="I30">
        <v>37.890900000000002</v>
      </c>
      <c r="J30">
        <v>41.548999999999999</v>
      </c>
      <c r="K30">
        <v>45.799500000000009</v>
      </c>
      <c r="L30">
        <v>50.103000000000002</v>
      </c>
      <c r="M30">
        <v>54.272300000000008</v>
      </c>
      <c r="N30">
        <v>58.423400000000001</v>
      </c>
      <c r="O30" t="s">
        <v>27</v>
      </c>
      <c r="P30">
        <v>67.268100000000004</v>
      </c>
      <c r="Q30" t="s">
        <v>27</v>
      </c>
      <c r="R30">
        <v>76.033299999999997</v>
      </c>
      <c r="S30" t="s">
        <v>27</v>
      </c>
      <c r="T30">
        <v>87.253600000000006</v>
      </c>
      <c r="U30" t="s">
        <v>27</v>
      </c>
      <c r="V30">
        <v>100.80880000000001</v>
      </c>
    </row>
    <row r="31" spans="1:22" x14ac:dyDescent="0.25">
      <c r="A31" t="s">
        <v>37</v>
      </c>
      <c r="B31" t="s">
        <v>33</v>
      </c>
      <c r="C31" t="s">
        <v>24</v>
      </c>
      <c r="D31" t="s">
        <v>25</v>
      </c>
      <c r="E31" t="s">
        <v>26</v>
      </c>
      <c r="F31">
        <v>9.5607000000000006</v>
      </c>
      <c r="G31">
        <v>91.257300000000001</v>
      </c>
      <c r="H31">
        <v>116.7285</v>
      </c>
      <c r="I31">
        <v>180.3663</v>
      </c>
      <c r="J31">
        <v>248.76240000000001</v>
      </c>
      <c r="K31">
        <v>329.58890000000002</v>
      </c>
      <c r="L31">
        <v>422.18459999999999</v>
      </c>
      <c r="M31">
        <v>457.08149999999989</v>
      </c>
      <c r="N31">
        <v>496.78620000000001</v>
      </c>
      <c r="O31" t="s">
        <v>27</v>
      </c>
      <c r="P31">
        <v>483.358</v>
      </c>
      <c r="Q31" t="s">
        <v>27</v>
      </c>
      <c r="R31">
        <v>492.45760000000001</v>
      </c>
      <c r="S31" t="s">
        <v>27</v>
      </c>
      <c r="T31">
        <v>509.31580000000002</v>
      </c>
      <c r="U31" t="s">
        <v>27</v>
      </c>
      <c r="V31">
        <v>534.69719999999995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RowHeight="15.75" x14ac:dyDescent="0.25"/>
  <sheetData>
    <row r="1" spans="1:1" x14ac:dyDescent="0.25">
      <c r="A1" t="s">
        <v>39</v>
      </c>
    </row>
    <row r="2" spans="1:1" x14ac:dyDescent="0.25">
      <c r="A2" t="s">
        <v>40</v>
      </c>
    </row>
  </sheetData>
  <pageMargins left="0.7" right="0.7" top="0.75" bottom="0.75" header="0.3" footer="0.3"/>
  <ignoredErrors>
    <ignoredError sqref="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Emissions</vt:lpstr>
      <vt:lpstr>CPrice</vt:lpstr>
      <vt:lpstr>Feuil3</vt:lpstr>
      <vt:lpstr>Feuil1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2023-05-15T15:02:17Z</dcterms:modified>
</cp:coreProperties>
</file>