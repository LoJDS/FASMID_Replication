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Travail\PhD\Papers\FASM\"/>
    </mc:Choice>
  </mc:AlternateContent>
  <xr:revisionPtr revIDLastSave="0" documentId="13_ncr:1_{B42D5922-6918-4F3F-8994-8B2FDD9D9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issions" sheetId="1" r:id="rId1"/>
    <sheet name="CPrice" sheetId="4" r:id="rId2"/>
    <sheet name="Feuil1" sheetId="3" r:id="rId3"/>
    <sheet name="READM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" i="1" l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Q9" i="1"/>
  <c r="R9" i="1"/>
  <c r="S9" i="1"/>
  <c r="T9" i="1"/>
  <c r="U9" i="1"/>
  <c r="V9" i="1"/>
  <c r="W9" i="1"/>
  <c r="X9" i="1"/>
  <c r="Z9" i="1"/>
  <c r="AB9" i="1"/>
  <c r="AD9" i="1"/>
  <c r="AF9" i="1"/>
  <c r="Q6" i="1"/>
  <c r="R6" i="1"/>
  <c r="S6" i="1"/>
  <c r="T6" i="1"/>
  <c r="U6" i="1"/>
  <c r="V6" i="1"/>
  <c r="W6" i="1"/>
  <c r="X6" i="1"/>
  <c r="Z6" i="1"/>
  <c r="AB6" i="1"/>
  <c r="AD6" i="1"/>
  <c r="AF6" i="1"/>
  <c r="Q15" i="1"/>
  <c r="R15" i="1"/>
  <c r="S15" i="1"/>
  <c r="T15" i="1"/>
  <c r="U15" i="1"/>
  <c r="V15" i="1"/>
  <c r="W15" i="1"/>
  <c r="X15" i="1"/>
  <c r="Z15" i="1"/>
  <c r="AB15" i="1"/>
  <c r="AD15" i="1"/>
  <c r="AF15" i="1"/>
  <c r="Q18" i="1"/>
  <c r="R18" i="1"/>
  <c r="S18" i="1"/>
  <c r="T18" i="1"/>
  <c r="U18" i="1"/>
  <c r="V18" i="1"/>
  <c r="W18" i="1"/>
  <c r="X18" i="1"/>
  <c r="Z18" i="1"/>
  <c r="AB18" i="1"/>
  <c r="AD18" i="1"/>
  <c r="AF18" i="1"/>
  <c r="Q3" i="1"/>
  <c r="R3" i="1"/>
  <c r="S3" i="1"/>
  <c r="T3" i="1"/>
  <c r="U3" i="1"/>
  <c r="V3" i="1"/>
  <c r="W3" i="1"/>
  <c r="X3" i="1"/>
  <c r="Z3" i="1"/>
  <c r="AB3" i="1"/>
  <c r="AD3" i="1"/>
  <c r="AF3" i="1"/>
  <c r="Q12" i="1"/>
  <c r="R12" i="1"/>
  <c r="S12" i="1"/>
  <c r="T12" i="1"/>
  <c r="U12" i="1"/>
  <c r="V12" i="1"/>
  <c r="W12" i="1"/>
  <c r="X12" i="1"/>
  <c r="Z12" i="1"/>
  <c r="AB12" i="1"/>
  <c r="AD12" i="1"/>
  <c r="AF12" i="1"/>
  <c r="Q10" i="1"/>
  <c r="R10" i="1"/>
  <c r="S10" i="1"/>
  <c r="T10" i="1"/>
  <c r="U10" i="1"/>
  <c r="V10" i="1"/>
  <c r="W10" i="1"/>
  <c r="X10" i="1"/>
  <c r="Z10" i="1"/>
  <c r="AB10" i="1"/>
  <c r="AD10" i="1"/>
  <c r="AF10" i="1"/>
  <c r="Q7" i="1"/>
  <c r="R7" i="1"/>
  <c r="S7" i="1"/>
  <c r="T7" i="1"/>
  <c r="U7" i="1"/>
  <c r="V7" i="1"/>
  <c r="W7" i="1"/>
  <c r="X7" i="1"/>
  <c r="Z7" i="1"/>
  <c r="AB7" i="1"/>
  <c r="AD7" i="1"/>
  <c r="AF7" i="1"/>
  <c r="Q16" i="1"/>
  <c r="R16" i="1"/>
  <c r="S16" i="1"/>
  <c r="T16" i="1"/>
  <c r="U16" i="1"/>
  <c r="V16" i="1"/>
  <c r="W16" i="1"/>
  <c r="X16" i="1"/>
  <c r="Z16" i="1"/>
  <c r="AB16" i="1"/>
  <c r="AD16" i="1"/>
  <c r="AF16" i="1"/>
  <c r="Q19" i="1"/>
  <c r="R19" i="1"/>
  <c r="S19" i="1"/>
  <c r="T19" i="1"/>
  <c r="U19" i="1"/>
  <c r="V19" i="1"/>
  <c r="W19" i="1"/>
  <c r="X19" i="1"/>
  <c r="Z19" i="1"/>
  <c r="AB19" i="1"/>
  <c r="AD19" i="1"/>
  <c r="AF19" i="1"/>
  <c r="Q4" i="1"/>
  <c r="R4" i="1"/>
  <c r="S4" i="1"/>
  <c r="T4" i="1"/>
  <c r="U4" i="1"/>
  <c r="V4" i="1"/>
  <c r="W4" i="1"/>
  <c r="X4" i="1"/>
  <c r="Z4" i="1"/>
  <c r="AB4" i="1"/>
  <c r="AD4" i="1"/>
  <c r="AF4" i="1"/>
  <c r="Q13" i="1"/>
  <c r="R13" i="1"/>
  <c r="S13" i="1"/>
  <c r="T13" i="1"/>
  <c r="U13" i="1"/>
  <c r="V13" i="1"/>
  <c r="W13" i="1"/>
  <c r="X13" i="1"/>
  <c r="Z13" i="1"/>
  <c r="AB13" i="1"/>
  <c r="AD13" i="1"/>
  <c r="AF13" i="1"/>
  <c r="P13" i="1"/>
  <c r="P5" i="1"/>
  <c r="P14" i="1"/>
  <c r="P17" i="1"/>
  <c r="P2" i="1"/>
  <c r="P11" i="1"/>
  <c r="P9" i="1"/>
  <c r="P6" i="1"/>
  <c r="P15" i="1"/>
  <c r="P18" i="1"/>
  <c r="P3" i="1"/>
  <c r="P12" i="1"/>
  <c r="P10" i="1"/>
  <c r="P7" i="1"/>
  <c r="P16" i="1"/>
  <c r="P19" i="1"/>
  <c r="P4" i="1"/>
  <c r="P8" i="1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A38" i="3"/>
  <c r="AB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L38" i="3"/>
</calcChain>
</file>

<file path=xl/sharedStrings.xml><?xml version="1.0" encoding="utf-8"?>
<sst xmlns="http://schemas.openxmlformats.org/spreadsheetml/2006/main" count="658" uniqueCount="72">
  <si>
    <t>Model</t>
  </si>
  <si>
    <t>Scenario</t>
  </si>
  <si>
    <t>Region</t>
  </si>
  <si>
    <t>Variable</t>
  </si>
  <si>
    <t>Unit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</si>
  <si>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</si>
  <si>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</si>
  <si>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</si>
  <si>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</si>
  <si>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</si>
  <si>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</si>
  <si>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</si>
  <si>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</si>
  <si>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</si>
  <si>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</si>
  <si>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</si>
  <si>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</si>
  <si>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</si>
  <si>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</si>
  <si>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</si>
  <si>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</si>
  <si>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</si>
  <si>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</si>
  <si>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</si>
  <si>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</si>
  <si>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</si>
  <si>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</si>
  <si>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</si>
  <si>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GCAM5.3_NGFS</t>
  </si>
  <si>
    <t>Below 2°C</t>
  </si>
  <si>
    <t>World</t>
  </si>
  <si>
    <t>Emissions|CO2</t>
  </si>
  <si>
    <t>Mt CO2/yr</t>
  </si>
  <si>
    <t/>
  </si>
  <si>
    <t>Price|Carbon</t>
  </si>
  <si>
    <t>US$2010/t CO2</t>
  </si>
  <si>
    <t xml:space="preserve">Nationally Determined Contributions (NDCs) </t>
  </si>
  <si>
    <t>Delayed transition</t>
  </si>
  <si>
    <t>Divergent Net Zero</t>
  </si>
  <si>
    <t xml:space="preserve">Current Policies </t>
  </si>
  <si>
    <t>Net Zero 2050</t>
  </si>
  <si>
    <t>MESSAGEix-GLOBIOM 1.1</t>
  </si>
  <si>
    <t>REMIND-MAgPIE 2.1-4.2</t>
  </si>
  <si>
    <t>© NGFS Scenario Explorer https://data.ene.iiasa.ac.at/ngfs</t>
  </si>
  <si>
    <t>NGFS Scenario Explorer and Data hosted by IIASA</t>
  </si>
  <si>
    <t>GCAM</t>
  </si>
  <si>
    <t>Linestyle</t>
  </si>
  <si>
    <t>dashdot</t>
  </si>
  <si>
    <t>solid</t>
  </si>
  <si>
    <t>dashed</t>
  </si>
  <si>
    <t>Delayed</t>
  </si>
  <si>
    <t>Color</t>
  </si>
  <si>
    <t>royalblue</t>
  </si>
  <si>
    <t>grey</t>
  </si>
  <si>
    <t>orange</t>
  </si>
  <si>
    <t>black</t>
  </si>
  <si>
    <t>limegreen</t>
  </si>
  <si>
    <t>Baseline</t>
  </si>
  <si>
    <t>dotted</t>
  </si>
  <si>
    <t>Position</t>
  </si>
  <si>
    <t>mediumseagreen</t>
  </si>
  <si>
    <t>Type</t>
  </si>
  <si>
    <t>Ord</t>
  </si>
  <si>
    <t>NDC</t>
  </si>
  <si>
    <t>NT</t>
  </si>
  <si>
    <t>Dis</t>
  </si>
  <si>
    <t>Index</t>
  </si>
  <si>
    <t>Code</t>
  </si>
  <si>
    <t>Position2</t>
  </si>
  <si>
    <t>GCAM2021</t>
  </si>
  <si>
    <t>MESSAGE2021</t>
  </si>
  <si>
    <t>REMIND2021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</si>
</sst>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BC98E731-4D8C-4FF3-A197-27784047A7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topLeftCell="C1" workbookViewId="0">
      <selection activeCell="O2" sqref="O2:O19"/>
    </sheetView>
  </sheetViews>
  <sheetFormatPr baseColWidth="10" defaultRowHeight="15.75" x14ac:dyDescent="0.25"/>
  <cols>
    <col min="2" max="2" width="18.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61</v>
      </c>
      <c r="G1" t="s">
        <v>68</v>
      </c>
      <c r="H1" t="s">
        <v>66</v>
      </c>
      <c r="I1" t="s">
        <v>67</v>
      </c>
      <c r="J1" t="s">
        <v>46</v>
      </c>
      <c r="K1" t="s">
        <v>50</v>
      </c>
      <c r="L1" t="s">
        <v>51</v>
      </c>
      <c r="M1" t="s">
        <v>57</v>
      </c>
      <c r="N1" t="s">
        <v>4</v>
      </c>
      <c r="O1">
        <v>2015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25">
      <c r="A2" t="s">
        <v>69</v>
      </c>
      <c r="B2" t="s">
        <v>39</v>
      </c>
      <c r="C2" t="s">
        <v>30</v>
      </c>
      <c r="D2" t="s">
        <v>31</v>
      </c>
      <c r="E2">
        <v>11</v>
      </c>
      <c r="F2" t="s">
        <v>64</v>
      </c>
      <c r="G2">
        <v>35</v>
      </c>
      <c r="H2">
        <v>35</v>
      </c>
      <c r="I2">
        <v>1</v>
      </c>
      <c r="J2" t="s">
        <v>48</v>
      </c>
      <c r="K2">
        <v>0</v>
      </c>
      <c r="L2" t="s">
        <v>55</v>
      </c>
      <c r="M2">
        <v>1</v>
      </c>
      <c r="N2" t="s">
        <v>32</v>
      </c>
      <c r="O2">
        <v>40.088073780000002</v>
      </c>
      <c r="P2">
        <f>Feuil1!L6/1000</f>
        <v>41.748377339999998</v>
      </c>
      <c r="Q2">
        <f>Feuil1!M6/1000</f>
        <v>42.870428780000005</v>
      </c>
      <c r="R2">
        <f>Feuil1!N6/1000</f>
        <v>43.25456569</v>
      </c>
      <c r="S2">
        <f>Feuil1!O6/1000</f>
        <v>44.09238302</v>
      </c>
      <c r="T2">
        <f>Feuil1!P6/1000</f>
        <v>43.65492957</v>
      </c>
      <c r="U2">
        <f>Feuil1!Q6/1000</f>
        <v>43.423746540000003</v>
      </c>
      <c r="V2">
        <f>Feuil1!R6/1000</f>
        <v>42.99337337</v>
      </c>
      <c r="W2">
        <f>Feuil1!S6/1000</f>
        <v>44.085213730000007</v>
      </c>
      <c r="X2">
        <f>Feuil1!T6/1000</f>
        <v>44.816834829999998</v>
      </c>
      <c r="Y2">
        <f>Feuil1!U6/1000</f>
        <v>45.735582640000004</v>
      </c>
      <c r="Z2">
        <f>Feuil1!V6/1000</f>
        <v>46.162812019999997</v>
      </c>
      <c r="AA2">
        <f>Feuil1!W6/1000</f>
        <v>46.702604110000003</v>
      </c>
      <c r="AB2">
        <f>Feuil1!X6/1000</f>
        <v>47.606183590000001</v>
      </c>
      <c r="AC2">
        <f>Feuil1!Y6/1000</f>
        <v>47.749916140000003</v>
      </c>
      <c r="AD2">
        <f>Feuil1!Z6/1000</f>
        <v>47.904237039999998</v>
      </c>
      <c r="AE2">
        <f>Feuil1!AA6/1000</f>
        <v>48.510541240000002</v>
      </c>
      <c r="AF2">
        <f>Feuil1!AB6/1000</f>
        <v>47.172662779999996</v>
      </c>
    </row>
    <row r="3" spans="1:32" x14ac:dyDescent="0.25">
      <c r="A3" t="s">
        <v>70</v>
      </c>
      <c r="B3" t="s">
        <v>39</v>
      </c>
      <c r="C3" t="s">
        <v>30</v>
      </c>
      <c r="D3" t="s">
        <v>31</v>
      </c>
      <c r="E3">
        <v>11</v>
      </c>
      <c r="F3" t="s">
        <v>64</v>
      </c>
      <c r="G3">
        <v>35</v>
      </c>
      <c r="H3">
        <v>35</v>
      </c>
      <c r="I3">
        <v>1</v>
      </c>
      <c r="J3" t="s">
        <v>49</v>
      </c>
      <c r="K3">
        <v>0</v>
      </c>
      <c r="L3" t="s">
        <v>55</v>
      </c>
      <c r="M3">
        <v>1</v>
      </c>
      <c r="N3" t="s">
        <v>32</v>
      </c>
      <c r="O3">
        <v>43.281865512491535</v>
      </c>
      <c r="P3">
        <f>Feuil1!L12/1000</f>
        <v>42.186671120025849</v>
      </c>
      <c r="Q3">
        <f>Feuil1!M12/1000</f>
        <v>41.961094133321517</v>
      </c>
      <c r="R3">
        <f>Feuil1!N12/1000</f>
        <v>43.9232573598767</v>
      </c>
      <c r="S3">
        <f>Feuil1!O12/1000</f>
        <v>45.475715750024335</v>
      </c>
      <c r="T3">
        <f>Feuil1!P12/1000</f>
        <v>46.165963123187147</v>
      </c>
      <c r="U3">
        <f>Feuil1!Q12/1000</f>
        <v>47.45560740573373</v>
      </c>
      <c r="V3">
        <f>Feuil1!R12/1000</f>
        <v>48.83018078648567</v>
      </c>
      <c r="W3">
        <f>Feuil1!S12/1000</f>
        <v>50.40331094473985</v>
      </c>
      <c r="X3">
        <f>Feuil1!T12/1000</f>
        <v>50.760492858130164</v>
      </c>
      <c r="Z3">
        <f>Feuil1!V12/1000</f>
        <v>53.578040980722335</v>
      </c>
      <c r="AB3">
        <f>Feuil1!X12/1000</f>
        <v>60.794010149574653</v>
      </c>
      <c r="AD3">
        <f>Feuil1!Z12/1000</f>
        <v>65.799357243688434</v>
      </c>
      <c r="AF3">
        <f>Feuil1!AB12/1000</f>
        <v>68.642039161424123</v>
      </c>
    </row>
    <row r="4" spans="1:32" x14ac:dyDescent="0.25">
      <c r="A4" t="s">
        <v>71</v>
      </c>
      <c r="B4" t="s">
        <v>39</v>
      </c>
      <c r="C4" t="s">
        <v>30</v>
      </c>
      <c r="D4" t="s">
        <v>31</v>
      </c>
      <c r="E4">
        <v>11</v>
      </c>
      <c r="F4" t="s">
        <v>64</v>
      </c>
      <c r="G4">
        <v>35</v>
      </c>
      <c r="H4">
        <v>35</v>
      </c>
      <c r="I4">
        <v>1</v>
      </c>
      <c r="J4" t="s">
        <v>58</v>
      </c>
      <c r="K4">
        <v>0</v>
      </c>
      <c r="L4" t="s">
        <v>55</v>
      </c>
      <c r="M4">
        <v>1</v>
      </c>
      <c r="N4" t="s">
        <v>32</v>
      </c>
      <c r="O4">
        <v>39.2836128</v>
      </c>
      <c r="P4">
        <f>Feuil1!L18/1000</f>
        <v>39.860860500000001</v>
      </c>
      <c r="Q4">
        <f>Feuil1!M18/1000</f>
        <v>41.286547400000003</v>
      </c>
      <c r="R4">
        <f>Feuil1!N18/1000</f>
        <v>42.659504399999996</v>
      </c>
      <c r="S4">
        <f>Feuil1!O18/1000</f>
        <v>43.132513099999997</v>
      </c>
      <c r="T4">
        <f>Feuil1!P18/1000</f>
        <v>42.609539299999994</v>
      </c>
      <c r="U4">
        <f>Feuil1!Q18/1000</f>
        <v>42.184798600000001</v>
      </c>
      <c r="V4">
        <f>Feuil1!R18/1000</f>
        <v>41.927364500000003</v>
      </c>
      <c r="W4">
        <f>Feuil1!S18/1000</f>
        <v>41.317866199999997</v>
      </c>
      <c r="X4">
        <f>Feuil1!T18/1000</f>
        <v>40.758660200000001</v>
      </c>
      <c r="Z4">
        <f>Feuil1!V18/1000</f>
        <v>39.453863200000001</v>
      </c>
      <c r="AB4">
        <f>Feuil1!X18/1000</f>
        <v>38.015771699999995</v>
      </c>
      <c r="AD4">
        <f>Feuil1!Z18/1000</f>
        <v>34.313074200000003</v>
      </c>
      <c r="AF4">
        <f>Feuil1!AB18/1000</f>
        <v>30.1175566</v>
      </c>
    </row>
    <row r="5" spans="1:32" x14ac:dyDescent="0.25">
      <c r="A5" t="s">
        <v>69</v>
      </c>
      <c r="B5" t="s">
        <v>63</v>
      </c>
      <c r="C5" t="s">
        <v>30</v>
      </c>
      <c r="D5" t="s">
        <v>31</v>
      </c>
      <c r="E5">
        <v>12</v>
      </c>
      <c r="F5" t="s">
        <v>64</v>
      </c>
      <c r="G5">
        <v>35</v>
      </c>
      <c r="H5">
        <v>35</v>
      </c>
      <c r="I5">
        <v>2</v>
      </c>
      <c r="J5" t="s">
        <v>48</v>
      </c>
      <c r="K5">
        <v>0</v>
      </c>
      <c r="L5" t="s">
        <v>53</v>
      </c>
      <c r="M5">
        <v>0</v>
      </c>
      <c r="N5" t="s">
        <v>32</v>
      </c>
      <c r="O5">
        <v>40.088073780000002</v>
      </c>
      <c r="P5">
        <f>Feuil1!L3/1000</f>
        <v>42.010319109999998</v>
      </c>
      <c r="Q5">
        <f>Feuil1!M3/1000</f>
        <v>41.518274630000001</v>
      </c>
      <c r="R5">
        <f>Feuil1!N3/1000</f>
        <v>39.157196640000002</v>
      </c>
      <c r="S5">
        <f>Feuil1!O3/1000</f>
        <v>36.726452530000003</v>
      </c>
      <c r="T5">
        <f>Feuil1!P3/1000</f>
        <v>34.248834160000015</v>
      </c>
      <c r="U5">
        <f>Feuil1!Q3/1000</f>
        <v>31.693521410000002</v>
      </c>
      <c r="V5">
        <f>Feuil1!R3/1000</f>
        <v>28.901923449999998</v>
      </c>
      <c r="W5">
        <f>Feuil1!S3/1000</f>
        <v>27.00610344</v>
      </c>
      <c r="X5">
        <f>Feuil1!T3/1000</f>
        <v>24.43393579</v>
      </c>
      <c r="Y5">
        <f>Feuil1!U3/1000</f>
        <v>21.956863769999998</v>
      </c>
      <c r="Z5">
        <f>Feuil1!V3/1000</f>
        <v>19.003338880000008</v>
      </c>
      <c r="AA5">
        <f>Feuil1!W3/1000</f>
        <v>18.494583930000001</v>
      </c>
      <c r="AB5">
        <f>Feuil1!X3/1000</f>
        <v>18.505715970000001</v>
      </c>
      <c r="AC5">
        <f>Feuil1!Y3/1000</f>
        <v>17.889876240000003</v>
      </c>
      <c r="AD5">
        <f>Feuil1!Z3/1000</f>
        <v>17.419859330000005</v>
      </c>
      <c r="AE5">
        <f>Feuil1!AA3/1000</f>
        <v>16.434662700000001</v>
      </c>
      <c r="AF5">
        <f>Feuil1!AB3/1000</f>
        <v>15.817734049999999</v>
      </c>
    </row>
    <row r="6" spans="1:32" x14ac:dyDescent="0.25">
      <c r="A6" t="s">
        <v>70</v>
      </c>
      <c r="B6" t="s">
        <v>63</v>
      </c>
      <c r="C6" t="s">
        <v>30</v>
      </c>
      <c r="D6" t="s">
        <v>31</v>
      </c>
      <c r="E6">
        <v>12</v>
      </c>
      <c r="F6" t="s">
        <v>64</v>
      </c>
      <c r="G6">
        <v>35</v>
      </c>
      <c r="H6">
        <v>35</v>
      </c>
      <c r="I6">
        <v>2</v>
      </c>
      <c r="J6" t="s">
        <v>49</v>
      </c>
      <c r="K6">
        <v>0</v>
      </c>
      <c r="L6" t="s">
        <v>53</v>
      </c>
      <c r="M6">
        <v>0</v>
      </c>
      <c r="N6" t="s">
        <v>32</v>
      </c>
      <c r="O6">
        <v>43.281865512491535</v>
      </c>
      <c r="P6">
        <f>Feuil1!L9/1000</f>
        <v>42.186671120025849</v>
      </c>
      <c r="Q6">
        <f>Feuil1!M9/1000</f>
        <v>39.683068736144321</v>
      </c>
      <c r="R6">
        <f>Feuil1!N9/1000</f>
        <v>39.561825480562177</v>
      </c>
      <c r="S6">
        <f>Feuil1!O9/1000</f>
        <v>39.291989324886174</v>
      </c>
      <c r="T6">
        <f>Feuil1!P9/1000</f>
        <v>36.993370241848517</v>
      </c>
      <c r="U6">
        <f>Feuil1!Q9/1000</f>
        <v>35.315429212555578</v>
      </c>
      <c r="V6">
        <f>Feuil1!R9/1000</f>
        <v>33.195024912105154</v>
      </c>
      <c r="W6">
        <f>Feuil1!S9/1000</f>
        <v>31.281624061408511</v>
      </c>
      <c r="X6">
        <f>Feuil1!T9/1000</f>
        <v>29.501521127499402</v>
      </c>
      <c r="Z6">
        <f>Feuil1!V9/1000</f>
        <v>27.8981522314347</v>
      </c>
      <c r="AB6">
        <f>Feuil1!X9/1000</f>
        <v>26.807176876390532</v>
      </c>
      <c r="AD6">
        <f>Feuil1!Z9/1000</f>
        <v>22.933888234910867</v>
      </c>
      <c r="AF6">
        <f>Feuil1!AB9/1000</f>
        <v>19.522562542161833</v>
      </c>
    </row>
    <row r="7" spans="1:32" x14ac:dyDescent="0.25">
      <c r="A7" t="s">
        <v>71</v>
      </c>
      <c r="B7" t="s">
        <v>63</v>
      </c>
      <c r="C7" t="s">
        <v>30</v>
      </c>
      <c r="D7" t="s">
        <v>31</v>
      </c>
      <c r="E7">
        <v>12</v>
      </c>
      <c r="F7" t="s">
        <v>64</v>
      </c>
      <c r="G7">
        <v>35</v>
      </c>
      <c r="H7">
        <v>35</v>
      </c>
      <c r="I7">
        <v>2</v>
      </c>
      <c r="J7" t="s">
        <v>58</v>
      </c>
      <c r="K7">
        <v>0</v>
      </c>
      <c r="L7" t="s">
        <v>53</v>
      </c>
      <c r="M7">
        <v>0</v>
      </c>
      <c r="N7" t="s">
        <v>32</v>
      </c>
      <c r="O7">
        <v>39.2836128</v>
      </c>
      <c r="P7">
        <f>Feuil1!L15/1000</f>
        <v>39.860860500000001</v>
      </c>
      <c r="Q7">
        <f>Feuil1!M15/1000</f>
        <v>40.871447000000003</v>
      </c>
      <c r="R7">
        <f>Feuil1!N15/1000</f>
        <v>40.720626799999998</v>
      </c>
      <c r="S7">
        <f>Feuil1!O15/1000</f>
        <v>38.904909099999998</v>
      </c>
      <c r="T7">
        <f>Feuil1!P15/1000</f>
        <v>34.834107199999998</v>
      </c>
      <c r="U7">
        <f>Feuil1!Q15/1000</f>
        <v>30.6501555</v>
      </c>
      <c r="V7">
        <f>Feuil1!R15/1000</f>
        <v>27.857620299999997</v>
      </c>
      <c r="W7">
        <f>Feuil1!S15/1000</f>
        <v>25.455273800000001</v>
      </c>
      <c r="X7">
        <f>Feuil1!T15/1000</f>
        <v>23.566902500000001</v>
      </c>
      <c r="Z7">
        <f>Feuil1!V15/1000</f>
        <v>18.119073100000001</v>
      </c>
      <c r="AB7">
        <f>Feuil1!X15/1000</f>
        <v>14.0013706</v>
      </c>
      <c r="AD7">
        <f>Feuil1!Z15/1000</f>
        <v>10.084444</v>
      </c>
      <c r="AF7">
        <f>Feuil1!AB15/1000</f>
        <v>7.7211935</v>
      </c>
    </row>
    <row r="8" spans="1:32" x14ac:dyDescent="0.25">
      <c r="A8" t="s">
        <v>69</v>
      </c>
      <c r="B8" t="s">
        <v>29</v>
      </c>
      <c r="C8" t="s">
        <v>30</v>
      </c>
      <c r="D8" t="s">
        <v>31</v>
      </c>
      <c r="E8">
        <v>13</v>
      </c>
      <c r="F8" t="s">
        <v>62</v>
      </c>
      <c r="G8">
        <v>35</v>
      </c>
      <c r="H8">
        <v>35</v>
      </c>
      <c r="I8">
        <v>3</v>
      </c>
      <c r="J8" t="s">
        <v>48</v>
      </c>
      <c r="K8">
        <v>0</v>
      </c>
      <c r="L8" t="s">
        <v>52</v>
      </c>
      <c r="M8">
        <v>0</v>
      </c>
      <c r="N8" t="s">
        <v>32</v>
      </c>
      <c r="O8">
        <v>40.088073780000002</v>
      </c>
      <c r="P8">
        <f>Feuil1!L2/1000</f>
        <v>41.741753089999996</v>
      </c>
      <c r="Q8">
        <f>Feuil1!M2/1000</f>
        <v>37.793758240000003</v>
      </c>
      <c r="R8">
        <f>Feuil1!N2/1000</f>
        <v>32.406954740000003</v>
      </c>
      <c r="S8">
        <f>Feuil1!O2/1000</f>
        <v>25.829201679999997</v>
      </c>
      <c r="T8">
        <f>Feuil1!P2/1000</f>
        <v>18.92258369</v>
      </c>
      <c r="U8">
        <f>Feuil1!Q2/1000</f>
        <v>12.067987670000001</v>
      </c>
      <c r="V8">
        <f>Feuil1!R2/1000</f>
        <v>8.2784755280000013</v>
      </c>
      <c r="W8">
        <f>Feuil1!S2/1000</f>
        <v>4.6456851610000003</v>
      </c>
      <c r="X8">
        <f>Feuil1!T2/1000</f>
        <v>1.076803384</v>
      </c>
      <c r="Y8">
        <f>Feuil1!U2/1000</f>
        <v>-2.404680371</v>
      </c>
      <c r="Z8">
        <f>Feuil1!V2/1000</f>
        <v>-2.8325261629999998</v>
      </c>
      <c r="AA8">
        <f>Feuil1!W2/1000</f>
        <v>-2.9106824680000001</v>
      </c>
      <c r="AB8">
        <f>Feuil1!X2/1000</f>
        <v>-2.711414102</v>
      </c>
      <c r="AC8">
        <f>Feuil1!Y2/1000</f>
        <v>-2.4697760889999998</v>
      </c>
      <c r="AD8">
        <f>Feuil1!Z2/1000</f>
        <v>-2.1801616020000001</v>
      </c>
      <c r="AE8">
        <f>Feuil1!AA2/1000</f>
        <v>-1.8646336189999999</v>
      </c>
      <c r="AF8">
        <f>Feuil1!AB2/1000</f>
        <v>-1.2476435469999998</v>
      </c>
    </row>
    <row r="9" spans="1:32" x14ac:dyDescent="0.25">
      <c r="A9" t="s">
        <v>70</v>
      </c>
      <c r="B9" t="s">
        <v>29</v>
      </c>
      <c r="C9" t="s">
        <v>30</v>
      </c>
      <c r="D9" t="s">
        <v>31</v>
      </c>
      <c r="E9">
        <v>13</v>
      </c>
      <c r="F9" t="s">
        <v>62</v>
      </c>
      <c r="G9">
        <v>35</v>
      </c>
      <c r="H9">
        <v>35</v>
      </c>
      <c r="I9">
        <v>3</v>
      </c>
      <c r="J9" t="s">
        <v>49</v>
      </c>
      <c r="K9">
        <v>0</v>
      </c>
      <c r="L9" t="s">
        <v>52</v>
      </c>
      <c r="M9">
        <v>0</v>
      </c>
      <c r="N9" t="s">
        <v>32</v>
      </c>
      <c r="O9">
        <v>43.281865512491535</v>
      </c>
      <c r="P9">
        <f>Feuil1!L8/1000</f>
        <v>42.186671120025849</v>
      </c>
      <c r="Q9">
        <f>Feuil1!M8/1000</f>
        <v>33.099994188346876</v>
      </c>
      <c r="R9">
        <f>Feuil1!N8/1000</f>
        <v>28.346452394272113</v>
      </c>
      <c r="S9">
        <f>Feuil1!O8/1000</f>
        <v>25.099180893821732</v>
      </c>
      <c r="T9">
        <f>Feuil1!P8/1000</f>
        <v>21.665792429791519</v>
      </c>
      <c r="U9">
        <f>Feuil1!Q8/1000</f>
        <v>17.637858629691522</v>
      </c>
      <c r="V9">
        <f>Feuil1!R8/1000</f>
        <v>13.326325720403709</v>
      </c>
      <c r="W9">
        <f>Feuil1!S8/1000</f>
        <v>9.831923354276169</v>
      </c>
      <c r="X9">
        <f>Feuil1!T8/1000</f>
        <v>7.1207952385416089</v>
      </c>
      <c r="Z9">
        <f>Feuil1!V8/1000</f>
        <v>2.4382968360549038</v>
      </c>
      <c r="AB9">
        <f>Feuil1!X8/1000</f>
        <v>1.9765012036714001E-6</v>
      </c>
      <c r="AD9">
        <f>Feuil1!Z8/1000</f>
        <v>-2.7184535081232003E-6</v>
      </c>
      <c r="AF9">
        <f>Feuil1!AB8/1000</f>
        <v>2.6274697802364239E-8</v>
      </c>
    </row>
    <row r="10" spans="1:32" x14ac:dyDescent="0.25">
      <c r="A10" t="s">
        <v>71</v>
      </c>
      <c r="B10" t="s">
        <v>29</v>
      </c>
      <c r="C10" t="s">
        <v>30</v>
      </c>
      <c r="D10" t="s">
        <v>31</v>
      </c>
      <c r="E10">
        <v>13</v>
      </c>
      <c r="F10" t="s">
        <v>62</v>
      </c>
      <c r="G10">
        <v>35</v>
      </c>
      <c r="H10">
        <v>35</v>
      </c>
      <c r="I10">
        <v>3</v>
      </c>
      <c r="J10" t="s">
        <v>58</v>
      </c>
      <c r="K10">
        <v>0</v>
      </c>
      <c r="L10" t="s">
        <v>52</v>
      </c>
      <c r="M10">
        <v>0</v>
      </c>
      <c r="N10" t="s">
        <v>32</v>
      </c>
      <c r="O10">
        <v>39.2836128</v>
      </c>
      <c r="P10">
        <f>Feuil1!L14/1000</f>
        <v>39.860860500000001</v>
      </c>
      <c r="Q10">
        <f>Feuil1!M14/1000</f>
        <v>32.9740909</v>
      </c>
      <c r="R10">
        <f>Feuil1!N14/1000</f>
        <v>28.023843599999999</v>
      </c>
      <c r="S10">
        <f>Feuil1!O14/1000</f>
        <v>22.449621100000002</v>
      </c>
      <c r="T10">
        <f>Feuil1!P14/1000</f>
        <v>16.923235300000002</v>
      </c>
      <c r="U10">
        <f>Feuil1!Q14/1000</f>
        <v>12.756090200000001</v>
      </c>
      <c r="V10">
        <f>Feuil1!R14/1000</f>
        <v>9.5260169999999995</v>
      </c>
      <c r="W10">
        <f>Feuil1!S14/1000</f>
        <v>6.9836847999999998</v>
      </c>
      <c r="X10">
        <f>Feuil1!T14/1000</f>
        <v>5.1096530000000007</v>
      </c>
      <c r="Z10">
        <f>Feuil1!V14/1000</f>
        <v>2.6551331</v>
      </c>
      <c r="AB10">
        <f>Feuil1!X14/1000</f>
        <v>1.3720141000000001</v>
      </c>
      <c r="AD10">
        <f>Feuil1!Z14/1000</f>
        <v>0.67396029999999996</v>
      </c>
      <c r="AF10">
        <f>Feuil1!AB14/1000</f>
        <v>0.1209158</v>
      </c>
    </row>
    <row r="11" spans="1:32" x14ac:dyDescent="0.25">
      <c r="A11" t="s">
        <v>69</v>
      </c>
      <c r="B11" t="s">
        <v>40</v>
      </c>
      <c r="C11" t="s">
        <v>30</v>
      </c>
      <c r="D11" t="s">
        <v>31</v>
      </c>
      <c r="E11">
        <v>14</v>
      </c>
      <c r="F11" t="s">
        <v>62</v>
      </c>
      <c r="G11">
        <v>15</v>
      </c>
      <c r="H11">
        <v>15</v>
      </c>
      <c r="I11">
        <v>4</v>
      </c>
      <c r="J11" t="s">
        <v>48</v>
      </c>
      <c r="K11">
        <v>0</v>
      </c>
      <c r="L11" t="s">
        <v>56</v>
      </c>
      <c r="M11">
        <v>0</v>
      </c>
      <c r="N11" t="s">
        <v>32</v>
      </c>
      <c r="O11">
        <v>40.088073780000002</v>
      </c>
      <c r="P11">
        <f>Feuil1!L7/1000</f>
        <v>41.747491260000004</v>
      </c>
      <c r="Q11">
        <f>Feuil1!M7/1000</f>
        <v>34.422146520000005</v>
      </c>
      <c r="R11">
        <f>Feuil1!N7/1000</f>
        <v>27.631831930000001</v>
      </c>
      <c r="S11">
        <f>Feuil1!O7/1000</f>
        <v>18.783932700000001</v>
      </c>
      <c r="T11">
        <f>Feuil1!P7/1000</f>
        <v>10.015229209999999</v>
      </c>
      <c r="U11">
        <f>Feuil1!Q7/1000</f>
        <v>4.7477466679999996</v>
      </c>
      <c r="V11">
        <f>Feuil1!R7/1000</f>
        <v>-0.31104255269999997</v>
      </c>
      <c r="W11">
        <f>Feuil1!S7/1000</f>
        <v>-3.2362261499999998</v>
      </c>
      <c r="X11">
        <f>Feuil1!T7/1000</f>
        <v>-4.751983944</v>
      </c>
      <c r="Y11">
        <f>Feuil1!U7/1000</f>
        <v>-5.3090149600000007</v>
      </c>
      <c r="Z11">
        <f>Feuil1!V7/1000</f>
        <v>-5.7024058980000003</v>
      </c>
      <c r="AA11">
        <f>Feuil1!W7/1000</f>
        <v>-5.790983743</v>
      </c>
      <c r="AB11">
        <f>Feuil1!X7/1000</f>
        <v>-5.7451703170000004</v>
      </c>
      <c r="AC11">
        <f>Feuil1!Y7/1000</f>
        <v>-5.4248996229999982</v>
      </c>
      <c r="AD11">
        <f>Feuil1!Z7/1000</f>
        <v>-5.1353792800000004</v>
      </c>
      <c r="AE11">
        <f>Feuil1!AA7/1000</f>
        <v>-4.8024559710000005</v>
      </c>
      <c r="AF11">
        <f>Feuil1!AB7/1000</f>
        <v>-4.184539505</v>
      </c>
    </row>
    <row r="12" spans="1:32" x14ac:dyDescent="0.25">
      <c r="A12" t="s">
        <v>70</v>
      </c>
      <c r="B12" t="s">
        <v>40</v>
      </c>
      <c r="C12" t="s">
        <v>30</v>
      </c>
      <c r="D12" t="s">
        <v>31</v>
      </c>
      <c r="E12">
        <v>14</v>
      </c>
      <c r="F12" t="s">
        <v>62</v>
      </c>
      <c r="G12">
        <v>12</v>
      </c>
      <c r="H12">
        <v>12</v>
      </c>
      <c r="I12">
        <v>4</v>
      </c>
      <c r="J12" t="s">
        <v>49</v>
      </c>
      <c r="K12">
        <v>0</v>
      </c>
      <c r="L12" s="1" t="s">
        <v>56</v>
      </c>
      <c r="M12">
        <v>0</v>
      </c>
      <c r="N12" t="s">
        <v>32</v>
      </c>
      <c r="O12">
        <v>43.281865512491535</v>
      </c>
      <c r="P12">
        <f>Feuil1!L13/1000</f>
        <v>42.186671120025849</v>
      </c>
      <c r="Q12">
        <f>Feuil1!M13/1000</f>
        <v>28.409169539611138</v>
      </c>
      <c r="R12">
        <f>Feuil1!N13/1000</f>
        <v>19.639510376833282</v>
      </c>
      <c r="S12">
        <f>Feuil1!O13/1000</f>
        <v>14.101220568433257</v>
      </c>
      <c r="T12">
        <f>Feuil1!P13/1000</f>
        <v>10.016852630833629</v>
      </c>
      <c r="U12">
        <f>Feuil1!Q13/1000</f>
        <v>6.4799756222775526</v>
      </c>
      <c r="V12">
        <f>Feuil1!R13/1000</f>
        <v>3.5385567634343529</v>
      </c>
      <c r="W12">
        <f>Feuil1!S13/1000</f>
        <v>1.341143899380149</v>
      </c>
      <c r="X12">
        <f>Feuil1!T13/1000</f>
        <v>-1.30511823665779E-3</v>
      </c>
      <c r="Z12">
        <f>Feuil1!V13/1000</f>
        <v>-2.1356017933132987E-3</v>
      </c>
      <c r="AB12">
        <f>Feuil1!X13/1000</f>
        <v>5.2499118885816645E-4</v>
      </c>
      <c r="AD12">
        <f>Feuil1!Z13/1000</f>
        <v>1.001323674369587E-3</v>
      </c>
      <c r="AF12">
        <f>Feuil1!AB13/1000</f>
        <v>1.007587455774456E-3</v>
      </c>
    </row>
    <row r="13" spans="1:32" x14ac:dyDescent="0.25">
      <c r="A13" t="s">
        <v>71</v>
      </c>
      <c r="B13" t="s">
        <v>40</v>
      </c>
      <c r="C13" t="s">
        <v>30</v>
      </c>
      <c r="D13" t="s">
        <v>31</v>
      </c>
      <c r="E13">
        <v>14</v>
      </c>
      <c r="F13" t="s">
        <v>62</v>
      </c>
      <c r="G13">
        <v>20</v>
      </c>
      <c r="H13">
        <v>20</v>
      </c>
      <c r="I13">
        <v>4</v>
      </c>
      <c r="J13" t="s">
        <v>58</v>
      </c>
      <c r="K13">
        <v>0</v>
      </c>
      <c r="L13" t="s">
        <v>56</v>
      </c>
      <c r="M13">
        <v>0</v>
      </c>
      <c r="N13" t="s">
        <v>32</v>
      </c>
      <c r="O13">
        <v>39.2836128</v>
      </c>
      <c r="P13">
        <f>Feuil1!L19/1000</f>
        <v>39.860860500000001</v>
      </c>
      <c r="Q13">
        <f>Feuil1!M19/1000</f>
        <v>29.041973800000001</v>
      </c>
      <c r="R13">
        <f>Feuil1!N19/1000</f>
        <v>19.0525956</v>
      </c>
      <c r="S13">
        <f>Feuil1!O19/1000</f>
        <v>12.582268299999999</v>
      </c>
      <c r="T13">
        <f>Feuil1!P19/1000</f>
        <v>7.6631894000000003</v>
      </c>
      <c r="U13">
        <f>Feuil1!Q19/1000</f>
        <v>3.8068609000000002</v>
      </c>
      <c r="V13">
        <f>Feuil1!R19/1000</f>
        <v>0.94096799999999992</v>
      </c>
      <c r="W13">
        <f>Feuil1!S19/1000</f>
        <v>-0.52303729999999993</v>
      </c>
      <c r="X13">
        <f>Feuil1!T19/1000</f>
        <v>-1.1109074000000001</v>
      </c>
      <c r="Z13">
        <f>Feuil1!V19/1000</f>
        <v>-1.2482173000000001</v>
      </c>
      <c r="AB13">
        <f>Feuil1!X19/1000</f>
        <v>-1.013034</v>
      </c>
      <c r="AD13">
        <f>Feuil1!Z19/1000</f>
        <v>-0.84807710000000003</v>
      </c>
      <c r="AF13">
        <f>Feuil1!AB19/1000</f>
        <v>-0.95695659999999994</v>
      </c>
    </row>
    <row r="14" spans="1:32" x14ac:dyDescent="0.25">
      <c r="A14" t="s">
        <v>69</v>
      </c>
      <c r="B14" t="s">
        <v>37</v>
      </c>
      <c r="C14" t="s">
        <v>30</v>
      </c>
      <c r="D14" t="s">
        <v>31</v>
      </c>
      <c r="E14">
        <v>15</v>
      </c>
      <c r="F14" t="s">
        <v>65</v>
      </c>
      <c r="G14">
        <v>21</v>
      </c>
      <c r="H14">
        <v>21</v>
      </c>
      <c r="I14">
        <v>5</v>
      </c>
      <c r="J14" t="s">
        <v>48</v>
      </c>
      <c r="K14">
        <v>1</v>
      </c>
      <c r="L14" t="s">
        <v>54</v>
      </c>
      <c r="M14">
        <v>0</v>
      </c>
      <c r="N14" t="s">
        <v>32</v>
      </c>
      <c r="O14">
        <v>40.088073780000002</v>
      </c>
      <c r="P14">
        <f>Feuil1!L4/1000</f>
        <v>41.748377339999998</v>
      </c>
      <c r="Q14">
        <f>Feuil1!M4/1000</f>
        <v>42.870428780000005</v>
      </c>
      <c r="R14">
        <f>Feuil1!N4/1000</f>
        <v>43.25456569</v>
      </c>
      <c r="S14">
        <f>Feuil1!O4/1000</f>
        <v>30.460799350000002</v>
      </c>
      <c r="T14">
        <f>Feuil1!P4/1000</f>
        <v>22.589827360000001</v>
      </c>
      <c r="U14">
        <f>Feuil1!Q4/1000</f>
        <v>14.16774964</v>
      </c>
      <c r="V14">
        <f>Feuil1!R4/1000</f>
        <v>6.4383736500000008</v>
      </c>
      <c r="W14">
        <f>Feuil1!S4/1000</f>
        <v>1.3487573829999999</v>
      </c>
      <c r="X14">
        <f>Feuil1!T4/1000</f>
        <v>-4.0405260700000003</v>
      </c>
      <c r="Y14">
        <f>Feuil1!U4/1000</f>
        <v>-6.8621439599999983</v>
      </c>
      <c r="Z14">
        <f>Feuil1!V4/1000</f>
        <v>-8.7251107150000013</v>
      </c>
      <c r="AA14">
        <f>Feuil1!W4/1000</f>
        <v>-10.265991700000001</v>
      </c>
      <c r="AB14">
        <f>Feuil1!X4/1000</f>
        <v>-11.696994909999999</v>
      </c>
      <c r="AC14">
        <f>Feuil1!Y4/1000</f>
        <v>-13.100152040000001</v>
      </c>
      <c r="AD14">
        <f>Feuil1!Z4/1000</f>
        <v>-11.00362851</v>
      </c>
      <c r="AE14">
        <f>Feuil1!AA4/1000</f>
        <v>-8.9847074720000002</v>
      </c>
      <c r="AF14">
        <f>Feuil1!AB4/1000</f>
        <v>-6.8420308790000011</v>
      </c>
    </row>
    <row r="15" spans="1:32" x14ac:dyDescent="0.25">
      <c r="A15" t="s">
        <v>70</v>
      </c>
      <c r="B15" t="s">
        <v>37</v>
      </c>
      <c r="C15" t="s">
        <v>30</v>
      </c>
      <c r="D15" t="s">
        <v>31</v>
      </c>
      <c r="E15">
        <v>15</v>
      </c>
      <c r="F15" t="s">
        <v>65</v>
      </c>
      <c r="G15">
        <v>20</v>
      </c>
      <c r="H15">
        <v>20</v>
      </c>
      <c r="I15">
        <v>5</v>
      </c>
      <c r="J15" t="s">
        <v>49</v>
      </c>
      <c r="K15">
        <v>1</v>
      </c>
      <c r="L15" t="s">
        <v>54</v>
      </c>
      <c r="M15">
        <v>0</v>
      </c>
      <c r="N15" t="s">
        <v>32</v>
      </c>
      <c r="O15">
        <v>43.281865512491535</v>
      </c>
      <c r="P15">
        <f>Feuil1!L10/1000</f>
        <v>42.186671120025849</v>
      </c>
      <c r="Q15">
        <f>Feuil1!M10/1000</f>
        <v>41.961094133321517</v>
      </c>
      <c r="R15">
        <f>Feuil1!N10/1000</f>
        <v>43.9232573598767</v>
      </c>
      <c r="S15">
        <f>Feuil1!O10/1000</f>
        <v>29.77163700445</v>
      </c>
      <c r="T15">
        <f>Feuil1!P10/1000</f>
        <v>19.815691543802018</v>
      </c>
      <c r="U15">
        <f>Feuil1!Q10/1000</f>
        <v>12.639482174998159</v>
      </c>
      <c r="V15">
        <f>Feuil1!R10/1000</f>
        <v>7.6096411996500359</v>
      </c>
      <c r="W15">
        <f>Feuil1!S10/1000</f>
        <v>3.9392402839180014</v>
      </c>
      <c r="X15">
        <f>Feuil1!T10/1000</f>
        <v>1.0225162533390602</v>
      </c>
      <c r="Z15">
        <f>Feuil1!V10/1000</f>
        <v>-3.8057208375628369</v>
      </c>
      <c r="AB15">
        <f>Feuil1!X10/1000</f>
        <v>-5.2085827543648007</v>
      </c>
      <c r="AD15">
        <f>Feuil1!Z10/1000</f>
        <v>-5.1671355989147116</v>
      </c>
      <c r="AF15">
        <f>Feuil1!AB10/1000</f>
        <v>-5.0516484070206626</v>
      </c>
    </row>
    <row r="16" spans="1:32" x14ac:dyDescent="0.25">
      <c r="A16" t="s">
        <v>71</v>
      </c>
      <c r="B16" t="s">
        <v>37</v>
      </c>
      <c r="C16" t="s">
        <v>30</v>
      </c>
      <c r="D16" t="s">
        <v>31</v>
      </c>
      <c r="E16">
        <v>15</v>
      </c>
      <c r="F16" t="s">
        <v>65</v>
      </c>
      <c r="G16">
        <v>19</v>
      </c>
      <c r="H16">
        <v>19</v>
      </c>
      <c r="I16">
        <v>5</v>
      </c>
      <c r="J16" t="s">
        <v>58</v>
      </c>
      <c r="K16">
        <v>1</v>
      </c>
      <c r="L16" t="s">
        <v>54</v>
      </c>
      <c r="M16">
        <v>0</v>
      </c>
      <c r="N16" t="s">
        <v>32</v>
      </c>
      <c r="O16">
        <v>39.2836128</v>
      </c>
      <c r="P16">
        <f>Feuil1!L16/1000</f>
        <v>39.860860500000001</v>
      </c>
      <c r="Q16">
        <f>Feuil1!M16/1000</f>
        <v>41.286547400000003</v>
      </c>
      <c r="R16">
        <f>Feuil1!N16/1000</f>
        <v>42.659504399999996</v>
      </c>
      <c r="S16">
        <f>Feuil1!O16/1000</f>
        <v>25.7069917</v>
      </c>
      <c r="T16">
        <f>Feuil1!P16/1000</f>
        <v>13.9292949</v>
      </c>
      <c r="U16">
        <f>Feuil1!Q16/1000</f>
        <v>7.5131228999999999</v>
      </c>
      <c r="V16">
        <f>Feuil1!R16/1000</f>
        <v>3.1907209999999995</v>
      </c>
      <c r="W16">
        <f>Feuil1!S16/1000</f>
        <v>1.1982917</v>
      </c>
      <c r="X16">
        <f>Feuil1!T16/1000</f>
        <v>0.14245359999999999</v>
      </c>
      <c r="Z16">
        <f>Feuil1!V16/1000</f>
        <v>-1.5689648999999999</v>
      </c>
      <c r="AB16">
        <f>Feuil1!X16/1000</f>
        <v>-2.5940151999999999</v>
      </c>
      <c r="AD16">
        <f>Feuil1!Z16/1000</f>
        <v>-2.8219337999999996</v>
      </c>
      <c r="AF16">
        <f>Feuil1!AB16/1000</f>
        <v>-3.1911078000000002</v>
      </c>
    </row>
    <row r="17" spans="1:32" x14ac:dyDescent="0.25">
      <c r="A17" t="s">
        <v>69</v>
      </c>
      <c r="B17" t="s">
        <v>38</v>
      </c>
      <c r="C17" t="s">
        <v>30</v>
      </c>
      <c r="D17" t="s">
        <v>31</v>
      </c>
      <c r="E17">
        <v>16</v>
      </c>
      <c r="F17" t="s">
        <v>65</v>
      </c>
      <c r="G17">
        <v>10</v>
      </c>
      <c r="H17">
        <v>10</v>
      </c>
      <c r="I17">
        <v>6</v>
      </c>
      <c r="J17" t="s">
        <v>48</v>
      </c>
      <c r="K17">
        <v>0</v>
      </c>
      <c r="L17" t="s">
        <v>60</v>
      </c>
      <c r="M17">
        <v>0</v>
      </c>
      <c r="N17" t="s">
        <v>32</v>
      </c>
      <c r="O17">
        <v>40.088073780000002</v>
      </c>
      <c r="P17">
        <f>Feuil1!L5/1000</f>
        <v>41.748379020000002</v>
      </c>
      <c r="Q17">
        <f>Feuil1!M5/1000</f>
        <v>28.707852470000002</v>
      </c>
      <c r="R17">
        <f>Feuil1!N5/1000</f>
        <v>22.71042761</v>
      </c>
      <c r="S17">
        <f>Feuil1!O5/1000</f>
        <v>15.083192629999999</v>
      </c>
      <c r="T17">
        <f>Feuil1!P5/1000</f>
        <v>7.8536118569999989</v>
      </c>
      <c r="U17">
        <f>Feuil1!Q5/1000</f>
        <v>0.5756752437999999</v>
      </c>
      <c r="V17">
        <f>Feuil1!R5/1000</f>
        <v>-6.2167169320000006</v>
      </c>
      <c r="W17">
        <f>Feuil1!S5/1000</f>
        <v>-7.5892128799999998</v>
      </c>
      <c r="X17">
        <f>Feuil1!T5/1000</f>
        <v>-7.9800165099999978</v>
      </c>
      <c r="Y17">
        <f>Feuil1!U5/1000</f>
        <v>-8.1976939299999998</v>
      </c>
      <c r="Z17">
        <f>Feuil1!V5/1000</f>
        <v>-8.1012674110000003</v>
      </c>
      <c r="AA17">
        <f>Feuil1!W5/1000</f>
        <v>-7.886080793999998</v>
      </c>
      <c r="AB17">
        <f>Feuil1!X5/1000</f>
        <v>-7.7694107430000008</v>
      </c>
      <c r="AC17">
        <f>Feuil1!Y5/1000</f>
        <v>-7.5034404189999995</v>
      </c>
      <c r="AD17">
        <f>Feuil1!Z5/1000</f>
        <v>-7.1580485010000006</v>
      </c>
      <c r="AE17">
        <f>Feuil1!AA5/1000</f>
        <v>-6.8210425519999998</v>
      </c>
      <c r="AF17">
        <f>Feuil1!AB5/1000</f>
        <v>-5.9908503799999995</v>
      </c>
    </row>
    <row r="18" spans="1:32" x14ac:dyDescent="0.25">
      <c r="A18" t="s">
        <v>70</v>
      </c>
      <c r="B18" t="s">
        <v>38</v>
      </c>
      <c r="C18" t="s">
        <v>30</v>
      </c>
      <c r="D18" t="s">
        <v>31</v>
      </c>
      <c r="E18">
        <v>16</v>
      </c>
      <c r="F18" t="s">
        <v>65</v>
      </c>
      <c r="G18">
        <v>21</v>
      </c>
      <c r="H18">
        <v>21</v>
      </c>
      <c r="I18">
        <v>6</v>
      </c>
      <c r="J18" t="s">
        <v>49</v>
      </c>
      <c r="K18">
        <v>0</v>
      </c>
      <c r="L18" t="s">
        <v>60</v>
      </c>
      <c r="M18">
        <v>0</v>
      </c>
      <c r="N18" t="s">
        <v>32</v>
      </c>
      <c r="O18">
        <v>43.281865512491535</v>
      </c>
      <c r="P18">
        <f>Feuil1!L11/1000</f>
        <v>42.186671120025849</v>
      </c>
      <c r="Q18">
        <f>Feuil1!M11/1000</f>
        <v>28.093200518369908</v>
      </c>
      <c r="R18">
        <f>Feuil1!N11/1000</f>
        <v>18.817634320397708</v>
      </c>
      <c r="S18">
        <f>Feuil1!O11/1000</f>
        <v>12.922294565744499</v>
      </c>
      <c r="T18">
        <f>Feuil1!P11/1000</f>
        <v>8.7320017100781087</v>
      </c>
      <c r="U18">
        <f>Feuil1!Q11/1000</f>
        <v>5.3983798675856081</v>
      </c>
      <c r="V18">
        <f>Feuil1!R11/1000</f>
        <v>2.5333749747834631</v>
      </c>
      <c r="W18">
        <f>Feuil1!S11/1000</f>
        <v>0.67137653447186618</v>
      </c>
      <c r="X18">
        <f>Feuil1!T11/1000</f>
        <v>2.2737367544323211E-16</v>
      </c>
      <c r="Z18">
        <f>Feuil1!V11/1000</f>
        <v>6.8212102632969619E-16</v>
      </c>
      <c r="AB18">
        <f>Feuil1!X11/1000</f>
        <v>-9.0949470177292826E-16</v>
      </c>
      <c r="AD18">
        <f>Feuil1!Z11/1000</f>
        <v>-7.2759576141834261E-15</v>
      </c>
      <c r="AF18">
        <f>Feuil1!AB11/1000</f>
        <v>1.3642420526593922E-15</v>
      </c>
    </row>
    <row r="19" spans="1:32" x14ac:dyDescent="0.25">
      <c r="A19" t="s">
        <v>71</v>
      </c>
      <c r="B19" t="s">
        <v>38</v>
      </c>
      <c r="C19" t="s">
        <v>30</v>
      </c>
      <c r="D19" t="s">
        <v>31</v>
      </c>
      <c r="E19">
        <v>16</v>
      </c>
      <c r="F19" t="s">
        <v>65</v>
      </c>
      <c r="G19">
        <v>24</v>
      </c>
      <c r="H19">
        <v>24</v>
      </c>
      <c r="I19">
        <v>6</v>
      </c>
      <c r="J19" t="s">
        <v>58</v>
      </c>
      <c r="K19">
        <v>0</v>
      </c>
      <c r="L19" t="s">
        <v>60</v>
      </c>
      <c r="M19">
        <v>0</v>
      </c>
      <c r="N19" t="s">
        <v>32</v>
      </c>
      <c r="O19">
        <v>39.2836128</v>
      </c>
      <c r="P19">
        <f>Feuil1!L17/1000</f>
        <v>39.860860500000001</v>
      </c>
      <c r="Q19">
        <f>Feuil1!M17/1000</f>
        <v>28.93599</v>
      </c>
      <c r="R19">
        <f>Feuil1!N17/1000</f>
        <v>19.112166800000001</v>
      </c>
      <c r="S19">
        <f>Feuil1!O17/1000</f>
        <v>12.160942199999999</v>
      </c>
      <c r="T19">
        <f>Feuil1!P17/1000</f>
        <v>7.2790528000000005</v>
      </c>
      <c r="U19">
        <f>Feuil1!Q17/1000</f>
        <v>3.9025821999999999</v>
      </c>
      <c r="V19">
        <f>Feuil1!R17/1000</f>
        <v>1.3729554000000002</v>
      </c>
      <c r="W19">
        <f>Feuil1!S17/1000</f>
        <v>-0.1562887</v>
      </c>
      <c r="X19">
        <f>Feuil1!T17/1000</f>
        <v>-1.2002235999999999</v>
      </c>
      <c r="Z19">
        <f>Feuil1!V17/1000</f>
        <v>-2.1877542999999999</v>
      </c>
      <c r="AB19">
        <f>Feuil1!X17/1000</f>
        <v>-2.5548511999999999</v>
      </c>
      <c r="AD19">
        <f>Feuil1!Z17/1000</f>
        <v>-2.9910599000000002</v>
      </c>
      <c r="AF19">
        <f>Feuil1!AB17/1000</f>
        <v>-3.6280646999999999</v>
      </c>
    </row>
  </sheetData>
  <sortState xmlns:xlrd2="http://schemas.microsoft.com/office/spreadsheetml/2017/richdata2" ref="A2:AF19">
    <sortCondition ref="I2:I19"/>
  </sortState>
  <pageMargins left="0.7" right="0.7" top="0.75" bottom="0.75" header="0.3" footer="0.3"/>
  <ignoredErrors>
    <ignoredError sqref="P1:AF1 A1:D1 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5E00-AA85-4883-AAD9-F7D874BC8BA9}">
  <dimension ref="A1:X19"/>
  <sheetViews>
    <sheetView zoomScale="91" zoomScaleNormal="205" workbookViewId="0">
      <selection activeCell="G9" sqref="G9"/>
    </sheetView>
  </sheetViews>
  <sheetFormatPr baseColWidth="10" defaultRowHeight="15.75" x14ac:dyDescent="0.25"/>
  <sheetData>
    <row r="1" spans="1:24" x14ac:dyDescent="0.25">
      <c r="A1" t="s">
        <v>0</v>
      </c>
      <c r="B1" t="s">
        <v>1</v>
      </c>
      <c r="C1" t="s">
        <v>67</v>
      </c>
      <c r="D1" t="s">
        <v>2</v>
      </c>
      <c r="E1" t="s">
        <v>3</v>
      </c>
      <c r="F1" t="s">
        <v>4</v>
      </c>
      <c r="G1">
        <v>2015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25">
      <c r="A2" t="s">
        <v>45</v>
      </c>
      <c r="B2" t="s">
        <v>39</v>
      </c>
      <c r="C2">
        <v>1</v>
      </c>
      <c r="D2" t="s">
        <v>30</v>
      </c>
      <c r="E2" t="s">
        <v>31</v>
      </c>
      <c r="F2" t="s">
        <v>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41</v>
      </c>
      <c r="B3" t="s">
        <v>39</v>
      </c>
      <c r="C3">
        <v>1</v>
      </c>
      <c r="D3" t="s">
        <v>30</v>
      </c>
      <c r="E3" t="s">
        <v>34</v>
      </c>
      <c r="F3" t="s">
        <v>35</v>
      </c>
      <c r="G3">
        <v>0</v>
      </c>
      <c r="H3">
        <v>0.57609088583055845</v>
      </c>
      <c r="I3">
        <v>0.70024570893116467</v>
      </c>
      <c r="J3">
        <v>0.30522655873954518</v>
      </c>
      <c r="K3">
        <v>0.44600252904884197</v>
      </c>
      <c r="L3">
        <v>0.55389338991954018</v>
      </c>
      <c r="M3">
        <v>0.66178425079023839</v>
      </c>
      <c r="N3">
        <v>0.7696751116609365</v>
      </c>
      <c r="O3">
        <v>0.87756597253163449</v>
      </c>
      <c r="P3">
        <v>0.98545683340233303</v>
      </c>
      <c r="R3">
        <v>1.2012385551437295</v>
      </c>
      <c r="T3">
        <v>1.4170202768851266</v>
      </c>
      <c r="V3">
        <v>1.6328019986265221</v>
      </c>
      <c r="X3">
        <v>1.8485837203679192</v>
      </c>
    </row>
    <row r="4" spans="1:24" x14ac:dyDescent="0.25">
      <c r="A4" t="s">
        <v>42</v>
      </c>
      <c r="B4" t="s">
        <v>39</v>
      </c>
      <c r="C4">
        <v>1</v>
      </c>
      <c r="D4" t="s">
        <v>30</v>
      </c>
      <c r="E4" t="s">
        <v>34</v>
      </c>
      <c r="F4" t="s">
        <v>35</v>
      </c>
      <c r="G4">
        <v>0</v>
      </c>
      <c r="H4">
        <v>0.35463525988193034</v>
      </c>
      <c r="I4">
        <v>0.29538646885258063</v>
      </c>
      <c r="J4">
        <v>0.29566797957772806</v>
      </c>
      <c r="K4">
        <v>0.31271006682554037</v>
      </c>
      <c r="L4">
        <v>0.33914462757351882</v>
      </c>
      <c r="M4">
        <v>0.37334937179745525</v>
      </c>
      <c r="N4">
        <v>0.42200869811050329</v>
      </c>
      <c r="O4">
        <v>0.48557310568803541</v>
      </c>
      <c r="P4">
        <v>0.56284924212731402</v>
      </c>
      <c r="R4">
        <v>0.74730435262146533</v>
      </c>
      <c r="T4">
        <v>0.98372996042693228</v>
      </c>
      <c r="V4">
        <v>1.2861918531567351</v>
      </c>
      <c r="X4">
        <v>1.669002954718112</v>
      </c>
    </row>
    <row r="5" spans="1:24" x14ac:dyDescent="0.25">
      <c r="A5" t="s">
        <v>28</v>
      </c>
      <c r="B5" t="s">
        <v>36</v>
      </c>
      <c r="C5">
        <v>2</v>
      </c>
      <c r="D5" t="s">
        <v>30</v>
      </c>
      <c r="E5" t="s">
        <v>34</v>
      </c>
      <c r="F5" t="s">
        <v>35</v>
      </c>
      <c r="G5">
        <v>0</v>
      </c>
      <c r="H5">
        <v>0</v>
      </c>
      <c r="I5">
        <v>3.5775145015964647</v>
      </c>
      <c r="J5">
        <v>9.501315894776905</v>
      </c>
      <c r="K5">
        <v>9.8786887838990562</v>
      </c>
      <c r="L5">
        <v>11.365804807026032</v>
      </c>
      <c r="M5">
        <v>14.75775145699096</v>
      </c>
      <c r="N5">
        <v>18.655262672331123</v>
      </c>
      <c r="O5">
        <v>21.948200079671359</v>
      </c>
      <c r="P5">
        <v>26.281424126385122</v>
      </c>
      <c r="Q5">
        <v>31.406456247372802</v>
      </c>
      <c r="R5">
        <v>36.182051662599925</v>
      </c>
      <c r="S5">
        <v>41.746119949006001</v>
      </c>
      <c r="T5">
        <v>47.895462967851842</v>
      </c>
      <c r="U5">
        <v>52.401452908694566</v>
      </c>
      <c r="V5">
        <v>56.689194755195196</v>
      </c>
      <c r="W5">
        <v>61.852741943952083</v>
      </c>
      <c r="X5">
        <v>69.217629996834006</v>
      </c>
    </row>
    <row r="6" spans="1:24" x14ac:dyDescent="0.25">
      <c r="A6" t="s">
        <v>41</v>
      </c>
      <c r="B6" t="s">
        <v>36</v>
      </c>
      <c r="C6">
        <v>2</v>
      </c>
      <c r="D6" t="s">
        <v>30</v>
      </c>
      <c r="E6" t="s">
        <v>34</v>
      </c>
      <c r="F6" t="s">
        <v>35</v>
      </c>
      <c r="G6">
        <v>0</v>
      </c>
      <c r="H6">
        <v>0.57609088583055845</v>
      </c>
      <c r="I6">
        <v>3.0447974837405547</v>
      </c>
      <c r="J6">
        <v>13.266184344276249</v>
      </c>
      <c r="K6">
        <v>14.592448842078833</v>
      </c>
      <c r="L6">
        <v>14.4894146386291</v>
      </c>
      <c r="M6">
        <v>14.386380435179365</v>
      </c>
      <c r="N6">
        <v>14.283346231729629</v>
      </c>
      <c r="O6">
        <v>14.180312028279909</v>
      </c>
      <c r="P6">
        <v>14.077277824830173</v>
      </c>
      <c r="R6">
        <v>13.871209417930704</v>
      </c>
      <c r="T6">
        <v>13.665141011031235</v>
      </c>
      <c r="V6">
        <v>13.459072604131766</v>
      </c>
      <c r="X6">
        <v>13.253004197232309</v>
      </c>
    </row>
    <row r="7" spans="1:24" x14ac:dyDescent="0.25">
      <c r="A7" t="s">
        <v>42</v>
      </c>
      <c r="B7" t="s">
        <v>36</v>
      </c>
      <c r="C7">
        <v>2</v>
      </c>
      <c r="D7" t="s">
        <v>30</v>
      </c>
      <c r="E7" t="s">
        <v>34</v>
      </c>
      <c r="F7" t="s">
        <v>35</v>
      </c>
      <c r="G7">
        <v>0</v>
      </c>
      <c r="H7">
        <v>0.35463525988193034</v>
      </c>
      <c r="I7">
        <v>1.012644106401579</v>
      </c>
      <c r="J7">
        <v>1.183551700971877</v>
      </c>
      <c r="K7">
        <v>1.7467035230500394</v>
      </c>
      <c r="L7">
        <v>2.4757981486564598</v>
      </c>
      <c r="M7">
        <v>3.2453655813238163</v>
      </c>
      <c r="N7">
        <v>4.0420555074976159</v>
      </c>
      <c r="O7">
        <v>4.8865221028769303</v>
      </c>
      <c r="P7">
        <v>5.7392121850893671</v>
      </c>
      <c r="R7">
        <v>7.4228950065573205</v>
      </c>
      <c r="T7">
        <v>8.9618095763865391</v>
      </c>
      <c r="V7">
        <v>10.409476195368098</v>
      </c>
      <c r="X7">
        <v>11.964360876035281</v>
      </c>
    </row>
    <row r="8" spans="1:24" x14ac:dyDescent="0.25">
      <c r="A8" t="s">
        <v>28</v>
      </c>
      <c r="B8" t="s">
        <v>29</v>
      </c>
      <c r="C8">
        <v>3</v>
      </c>
      <c r="D8" t="s">
        <v>30</v>
      </c>
      <c r="E8" t="s">
        <v>34</v>
      </c>
      <c r="F8" t="s">
        <v>35</v>
      </c>
      <c r="G8">
        <v>0</v>
      </c>
      <c r="H8">
        <v>0</v>
      </c>
      <c r="I8">
        <v>4.9242517077660732</v>
      </c>
      <c r="J8">
        <v>9.1773762825700569</v>
      </c>
      <c r="K8">
        <v>12.948433450600561</v>
      </c>
      <c r="L8">
        <v>16.003230235530562</v>
      </c>
      <c r="M8">
        <v>21.882967779992004</v>
      </c>
      <c r="N8">
        <v>31.543436955269357</v>
      </c>
      <c r="O8">
        <v>46.340332539688006</v>
      </c>
      <c r="P8">
        <v>69.383215115616153</v>
      </c>
      <c r="Q8">
        <v>110.51596629045369</v>
      </c>
      <c r="R8">
        <v>101.37622795284599</v>
      </c>
      <c r="S8">
        <v>93.70662577520639</v>
      </c>
      <c r="T8">
        <v>90.332088648016168</v>
      </c>
      <c r="U8">
        <v>89.204469537565359</v>
      </c>
      <c r="V8">
        <v>89.718233242791129</v>
      </c>
      <c r="W8">
        <v>91.383662754091844</v>
      </c>
      <c r="X8">
        <v>101.15247261922968</v>
      </c>
    </row>
    <row r="9" spans="1:24" x14ac:dyDescent="0.25">
      <c r="A9" t="s">
        <v>41</v>
      </c>
      <c r="B9" t="s">
        <v>29</v>
      </c>
      <c r="C9">
        <v>3</v>
      </c>
      <c r="D9" t="s">
        <v>30</v>
      </c>
      <c r="E9" t="s">
        <v>34</v>
      </c>
      <c r="F9" t="s">
        <v>35</v>
      </c>
      <c r="G9">
        <v>0</v>
      </c>
      <c r="H9">
        <v>0.57609088583055845</v>
      </c>
      <c r="I9">
        <v>4.9750872632334993</v>
      </c>
      <c r="J9">
        <v>6.4555841405750369</v>
      </c>
      <c r="K9">
        <v>7.5020532334181329</v>
      </c>
      <c r="L9">
        <v>10.735508462821336</v>
      </c>
      <c r="M9">
        <v>13.103748282800435</v>
      </c>
      <c r="N9">
        <v>15.690894066202457</v>
      </c>
      <c r="O9">
        <v>21.888356502544724</v>
      </c>
      <c r="P9">
        <v>28.763711848996014</v>
      </c>
      <c r="R9">
        <v>39.114095720525484</v>
      </c>
      <c r="T9">
        <v>33.18625895362019</v>
      </c>
      <c r="V9">
        <v>27.414668717628238</v>
      </c>
      <c r="X9">
        <v>24.046053850210832</v>
      </c>
    </row>
    <row r="10" spans="1:24" x14ac:dyDescent="0.25">
      <c r="A10" t="s">
        <v>42</v>
      </c>
      <c r="B10" t="s">
        <v>29</v>
      </c>
      <c r="C10">
        <v>3</v>
      </c>
      <c r="D10" t="s">
        <v>30</v>
      </c>
      <c r="E10" t="s">
        <v>34</v>
      </c>
      <c r="F10" t="s">
        <v>35</v>
      </c>
      <c r="G10">
        <v>0</v>
      </c>
      <c r="H10">
        <v>0.35463525988193034</v>
      </c>
      <c r="I10">
        <v>5.1044581100402935</v>
      </c>
      <c r="J10">
        <v>6.8707885187599569</v>
      </c>
      <c r="K10">
        <v>9.2560784218866399</v>
      </c>
      <c r="L10">
        <v>12.59501377646351</v>
      </c>
      <c r="M10">
        <v>17.127733981433462</v>
      </c>
      <c r="N10">
        <v>22.951866545133726</v>
      </c>
      <c r="O10">
        <v>25.820965369904336</v>
      </c>
      <c r="P10">
        <v>28.690305373774198</v>
      </c>
      <c r="R10">
        <v>34.428426764668139</v>
      </c>
      <c r="T10">
        <v>40.167936229109237</v>
      </c>
      <c r="V10">
        <v>45.905990120714925</v>
      </c>
      <c r="X10">
        <v>49.849165773664375</v>
      </c>
    </row>
    <row r="11" spans="1:24" x14ac:dyDescent="0.25">
      <c r="A11" t="s">
        <v>28</v>
      </c>
      <c r="B11" t="s">
        <v>40</v>
      </c>
      <c r="C11">
        <v>4</v>
      </c>
      <c r="D11" t="s">
        <v>30</v>
      </c>
      <c r="E11" t="s">
        <v>34</v>
      </c>
      <c r="F11" t="s">
        <v>35</v>
      </c>
      <c r="G11">
        <v>0</v>
      </c>
      <c r="H11">
        <v>0</v>
      </c>
      <c r="I11">
        <v>7.2487529577813685</v>
      </c>
      <c r="J11">
        <v>11.496855737462656</v>
      </c>
      <c r="K11">
        <v>16.34541495164336</v>
      </c>
      <c r="L11">
        <v>20.742375797716321</v>
      </c>
      <c r="M11">
        <v>31.765495014712798</v>
      </c>
      <c r="N11">
        <v>66.731277631216884</v>
      </c>
      <c r="O11">
        <v>90.471704285048247</v>
      </c>
      <c r="P11">
        <v>101.67849705327073</v>
      </c>
      <c r="Q11">
        <v>107.80774577019569</v>
      </c>
      <c r="R11">
        <v>132.36281655080882</v>
      </c>
      <c r="S11">
        <v>172.81135259107279</v>
      </c>
      <c r="T11">
        <v>231.66071447538803</v>
      </c>
      <c r="U11">
        <v>240.9770880174768</v>
      </c>
      <c r="V11">
        <v>266.52688015389924</v>
      </c>
      <c r="W11">
        <v>294.1823604792072</v>
      </c>
      <c r="X11">
        <v>375.74694794073361</v>
      </c>
    </row>
    <row r="12" spans="1:24" x14ac:dyDescent="0.25">
      <c r="A12" t="s">
        <v>41</v>
      </c>
      <c r="B12" t="s">
        <v>40</v>
      </c>
      <c r="C12">
        <v>4</v>
      </c>
      <c r="D12" t="s">
        <v>30</v>
      </c>
      <c r="E12" t="s">
        <v>34</v>
      </c>
      <c r="F12" t="s">
        <v>35</v>
      </c>
      <c r="G12">
        <v>0</v>
      </c>
      <c r="H12">
        <v>0.57609088583055845</v>
      </c>
      <c r="I12">
        <v>17.269103348067201</v>
      </c>
      <c r="J12">
        <v>23.470317275095994</v>
      </c>
      <c r="K12">
        <v>32.675975369696808</v>
      </c>
      <c r="L12">
        <v>40.066054590337323</v>
      </c>
      <c r="M12">
        <v>49.461718194435107</v>
      </c>
      <c r="N12">
        <v>57.710995490478219</v>
      </c>
      <c r="O12">
        <v>92.431375939640503</v>
      </c>
      <c r="P12">
        <v>71.541030195559216</v>
      </c>
      <c r="R12">
        <v>30.324774718946571</v>
      </c>
      <c r="T12">
        <v>24.989254184731287</v>
      </c>
      <c r="V12">
        <v>30.498836915207317</v>
      </c>
      <c r="X12">
        <v>25.611556235307944</v>
      </c>
    </row>
    <row r="13" spans="1:24" x14ac:dyDescent="0.25">
      <c r="A13" t="s">
        <v>42</v>
      </c>
      <c r="B13" t="s">
        <v>40</v>
      </c>
      <c r="C13">
        <v>4</v>
      </c>
      <c r="D13" t="s">
        <v>30</v>
      </c>
      <c r="E13" t="s">
        <v>34</v>
      </c>
      <c r="F13" t="s">
        <v>35</v>
      </c>
      <c r="G13">
        <v>0</v>
      </c>
      <c r="H13">
        <v>0.35463525982594046</v>
      </c>
      <c r="I13">
        <v>16.062264853060757</v>
      </c>
      <c r="J13">
        <v>21.846901270299107</v>
      </c>
      <c r="K13">
        <v>31.82489315739997</v>
      </c>
      <c r="L13">
        <v>44.062920321107313</v>
      </c>
      <c r="M13">
        <v>60.403290948230776</v>
      </c>
      <c r="N13">
        <v>79.843917651596428</v>
      </c>
      <c r="O13">
        <v>78.187090836539099</v>
      </c>
      <c r="P13">
        <v>76.511135097865278</v>
      </c>
      <c r="R13">
        <v>72.789290821804073</v>
      </c>
      <c r="T13">
        <v>69.824212119919494</v>
      </c>
      <c r="V13">
        <v>67.364153629119826</v>
      </c>
      <c r="X13">
        <v>65.011456418986853</v>
      </c>
    </row>
    <row r="14" spans="1:24" x14ac:dyDescent="0.25">
      <c r="A14" t="s">
        <v>28</v>
      </c>
      <c r="B14" t="s">
        <v>37</v>
      </c>
      <c r="C14">
        <v>5</v>
      </c>
      <c r="D14" t="s">
        <v>30</v>
      </c>
      <c r="E14" t="s">
        <v>34</v>
      </c>
      <c r="F14" t="s">
        <v>35</v>
      </c>
      <c r="G14">
        <v>0</v>
      </c>
      <c r="H14">
        <v>0</v>
      </c>
      <c r="I14">
        <v>0</v>
      </c>
      <c r="J14">
        <v>0</v>
      </c>
      <c r="K14">
        <v>16.056890211303923</v>
      </c>
      <c r="L14">
        <v>22.42226181211192</v>
      </c>
      <c r="M14">
        <v>39.027062985951922</v>
      </c>
      <c r="N14">
        <v>83.559418721917623</v>
      </c>
      <c r="O14">
        <v>107.87715597553135</v>
      </c>
      <c r="P14">
        <v>185.59348877988162</v>
      </c>
      <c r="Q14">
        <v>276.71420459672879</v>
      </c>
      <c r="R14">
        <v>367.83515779457923</v>
      </c>
      <c r="S14">
        <v>458.95575492092485</v>
      </c>
      <c r="T14">
        <v>550.07599597576564</v>
      </c>
      <c r="U14">
        <v>641.1988482216417</v>
      </c>
      <c r="V14">
        <v>732.31837713347284</v>
      </c>
      <c r="W14">
        <v>823.44027985533614</v>
      </c>
      <c r="X14">
        <v>914.55980876716717</v>
      </c>
    </row>
    <row r="15" spans="1:24" x14ac:dyDescent="0.25">
      <c r="A15" t="s">
        <v>41</v>
      </c>
      <c r="B15" t="s">
        <v>37</v>
      </c>
      <c r="C15">
        <v>5</v>
      </c>
      <c r="D15" t="s">
        <v>30</v>
      </c>
      <c r="E15" t="s">
        <v>34</v>
      </c>
      <c r="F15" t="s">
        <v>35</v>
      </c>
      <c r="G15">
        <v>0</v>
      </c>
      <c r="H15">
        <v>0.57609088583055845</v>
      </c>
      <c r="I15">
        <v>0.70024570893116467</v>
      </c>
      <c r="J15">
        <v>0.30522655873954518</v>
      </c>
      <c r="K15">
        <v>42.069830102567565</v>
      </c>
      <c r="L15">
        <v>76.3807057333226</v>
      </c>
      <c r="M15">
        <v>68.923675344006227</v>
      </c>
      <c r="N15">
        <v>109.83741397037571</v>
      </c>
      <c r="O15">
        <v>192.12907901278942</v>
      </c>
      <c r="P15">
        <v>150.71222184657728</v>
      </c>
      <c r="R15">
        <v>256.70158351899846</v>
      </c>
      <c r="T15">
        <v>60.748151162874343</v>
      </c>
      <c r="V15">
        <v>55.529494550622758</v>
      </c>
      <c r="X15">
        <v>31.699338542830979</v>
      </c>
    </row>
    <row r="16" spans="1:24" x14ac:dyDescent="0.25">
      <c r="A16" t="s">
        <v>42</v>
      </c>
      <c r="B16" t="s">
        <v>37</v>
      </c>
      <c r="C16">
        <v>5</v>
      </c>
      <c r="D16" t="s">
        <v>30</v>
      </c>
      <c r="E16" t="s">
        <v>34</v>
      </c>
      <c r="F16" t="s">
        <v>35</v>
      </c>
      <c r="G16">
        <v>0</v>
      </c>
      <c r="H16">
        <v>0.35463525988193034</v>
      </c>
      <c r="I16">
        <v>0.29538646885258063</v>
      </c>
      <c r="J16">
        <v>0.29566797957772806</v>
      </c>
      <c r="K16">
        <v>27.520167919232883</v>
      </c>
      <c r="L16">
        <v>39.424592097829631</v>
      </c>
      <c r="M16">
        <v>54.631669023560804</v>
      </c>
      <c r="N16">
        <v>73.81656656443208</v>
      </c>
      <c r="O16">
        <v>81.185748626018992</v>
      </c>
      <c r="P16">
        <v>89.226137046477817</v>
      </c>
      <c r="R16">
        <v>100.77992851073653</v>
      </c>
      <c r="T16">
        <v>112.80688320846964</v>
      </c>
      <c r="V16">
        <v>124.63016752169582</v>
      </c>
      <c r="X16">
        <v>136.79247461233405</v>
      </c>
    </row>
    <row r="17" spans="1:24" x14ac:dyDescent="0.25">
      <c r="A17" t="s">
        <v>28</v>
      </c>
      <c r="B17" t="s">
        <v>38</v>
      </c>
      <c r="C17">
        <v>6</v>
      </c>
      <c r="D17" t="s">
        <v>30</v>
      </c>
      <c r="E17" t="s">
        <v>34</v>
      </c>
      <c r="F17" t="s">
        <v>35</v>
      </c>
      <c r="G17">
        <v>0</v>
      </c>
      <c r="H17">
        <v>0</v>
      </c>
      <c r="I17">
        <v>24.246226226399763</v>
      </c>
      <c r="J17">
        <v>31.296976128696961</v>
      </c>
      <c r="K17">
        <v>41.928606595216003</v>
      </c>
      <c r="L17">
        <v>50.065338980002728</v>
      </c>
      <c r="M17">
        <v>87.967204141736474</v>
      </c>
      <c r="N17">
        <v>195.43162576700402</v>
      </c>
      <c r="O17">
        <v>212.6486325480968</v>
      </c>
      <c r="P17">
        <v>212.92838606036804</v>
      </c>
      <c r="Q17">
        <v>236.71028317545841</v>
      </c>
      <c r="R17">
        <v>247.22400649768801</v>
      </c>
      <c r="S17">
        <v>254.87206634928725</v>
      </c>
      <c r="T17">
        <v>308.08101821656726</v>
      </c>
      <c r="U17">
        <v>301.40159154852563</v>
      </c>
      <c r="V17">
        <v>286.98318810465923</v>
      </c>
      <c r="W17">
        <v>267.79591899700642</v>
      </c>
      <c r="X17">
        <v>267.34703151995524</v>
      </c>
    </row>
    <row r="18" spans="1:24" x14ac:dyDescent="0.25">
      <c r="A18" t="s">
        <v>41</v>
      </c>
      <c r="B18" t="s">
        <v>38</v>
      </c>
      <c r="C18">
        <v>6</v>
      </c>
      <c r="D18" t="s">
        <v>30</v>
      </c>
      <c r="E18" t="s">
        <v>34</v>
      </c>
      <c r="F18" t="s">
        <v>35</v>
      </c>
      <c r="G18">
        <v>0</v>
      </c>
      <c r="H18">
        <v>0.57609088583055845</v>
      </c>
      <c r="I18">
        <v>19.860683325893611</v>
      </c>
      <c r="J18">
        <v>26.751513779159211</v>
      </c>
      <c r="K18">
        <v>37.289677879422996</v>
      </c>
      <c r="L18">
        <v>43.910378780852071</v>
      </c>
      <c r="M18">
        <v>57.531175331524594</v>
      </c>
      <c r="N18">
        <v>84.218975122325432</v>
      </c>
      <c r="O18">
        <v>130.97123689579485</v>
      </c>
      <c r="P18">
        <v>158.57524707582581</v>
      </c>
      <c r="R18">
        <v>60.051197060301533</v>
      </c>
      <c r="T18">
        <v>50.904454435230988</v>
      </c>
      <c r="V18">
        <v>60.120595017241712</v>
      </c>
      <c r="X18">
        <v>52.816567354563368</v>
      </c>
    </row>
    <row r="19" spans="1:24" x14ac:dyDescent="0.25">
      <c r="A19" t="s">
        <v>42</v>
      </c>
      <c r="B19" t="s">
        <v>38</v>
      </c>
      <c r="C19">
        <v>6</v>
      </c>
      <c r="D19" t="s">
        <v>30</v>
      </c>
      <c r="E19" t="s">
        <v>34</v>
      </c>
      <c r="F19" t="s">
        <v>35</v>
      </c>
      <c r="G19">
        <v>0</v>
      </c>
      <c r="H19">
        <v>0.35463525982594046</v>
      </c>
      <c r="I19">
        <v>22.063210344888248</v>
      </c>
      <c r="J19">
        <v>33.044015567230815</v>
      </c>
      <c r="K19">
        <v>46.633223167700194</v>
      </c>
      <c r="L19">
        <v>60.667970116730189</v>
      </c>
      <c r="M19">
        <v>76.855802431149812</v>
      </c>
      <c r="N19">
        <v>92.953541604639256</v>
      </c>
      <c r="O19">
        <v>95.741703346761241</v>
      </c>
      <c r="P19">
        <v>94.217275979325137</v>
      </c>
      <c r="R19">
        <v>98.380024324483571</v>
      </c>
      <c r="T19">
        <v>102.02874594626468</v>
      </c>
      <c r="V19">
        <v>107.04441295967256</v>
      </c>
      <c r="X19">
        <v>109.84900141973984</v>
      </c>
    </row>
  </sheetData>
  <sortState xmlns:xlrd2="http://schemas.microsoft.com/office/spreadsheetml/2017/richdata2" ref="A2:X19">
    <sortCondition ref="C2:C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63CF-44B4-4E42-B332-A7E64C3418E7}">
  <dimension ref="A1:AB54"/>
  <sheetViews>
    <sheetView workbookViewId="0">
      <selection activeCell="K2" sqref="K2:K19"/>
    </sheetView>
  </sheetViews>
  <sheetFormatPr baseColWidth="10" defaultRowHeight="15.75" x14ac:dyDescent="0.25"/>
  <cols>
    <col min="2" max="2" width="40.75" customWidth="1"/>
    <col min="6" max="11" width="1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33</v>
      </c>
      <c r="I2">
        <v>30330.06868</v>
      </c>
      <c r="J2">
        <v>34654.23876</v>
      </c>
      <c r="K2">
        <v>40088.073779999999</v>
      </c>
      <c r="L2">
        <v>41741.753089999998</v>
      </c>
      <c r="M2">
        <v>37793.758240000003</v>
      </c>
      <c r="N2">
        <v>32406.954740000001</v>
      </c>
      <c r="O2">
        <v>25829.201679999998</v>
      </c>
      <c r="P2">
        <v>18922.583689999999</v>
      </c>
      <c r="Q2">
        <v>12067.98767</v>
      </c>
      <c r="R2">
        <v>8278.4755280000008</v>
      </c>
      <c r="S2">
        <v>4645.6851610000003</v>
      </c>
      <c r="T2">
        <v>1076.8033840000001</v>
      </c>
      <c r="U2">
        <v>-2404.6803709999999</v>
      </c>
      <c r="V2">
        <v>-2832.526163</v>
      </c>
      <c r="W2">
        <v>-2910.682468</v>
      </c>
      <c r="X2">
        <v>-2711.4141020000002</v>
      </c>
      <c r="Y2">
        <v>-2469.776089</v>
      </c>
      <c r="Z2">
        <v>-2180.1616020000001</v>
      </c>
      <c r="AA2">
        <v>-1864.633619</v>
      </c>
      <c r="AB2">
        <v>-1247.6435469999999</v>
      </c>
    </row>
    <row r="3" spans="1:28" x14ac:dyDescent="0.25">
      <c r="A3" t="s">
        <v>28</v>
      </c>
      <c r="B3" t="s">
        <v>36</v>
      </c>
      <c r="C3" t="s">
        <v>30</v>
      </c>
      <c r="D3" t="s">
        <v>31</v>
      </c>
      <c r="E3" t="s">
        <v>32</v>
      </c>
      <c r="F3" t="s">
        <v>33</v>
      </c>
      <c r="G3" t="s">
        <v>33</v>
      </c>
      <c r="H3" t="s">
        <v>33</v>
      </c>
      <c r="I3">
        <v>30330.068930000001</v>
      </c>
      <c r="J3">
        <v>34654.23919</v>
      </c>
      <c r="K3">
        <v>40088.075819999998</v>
      </c>
      <c r="L3">
        <v>42010.319109999997</v>
      </c>
      <c r="M3">
        <v>41518.27463</v>
      </c>
      <c r="N3">
        <v>39157.196640000002</v>
      </c>
      <c r="O3">
        <v>36726.452530000002</v>
      </c>
      <c r="P3">
        <v>34248.834160000013</v>
      </c>
      <c r="Q3">
        <v>31693.521410000001</v>
      </c>
      <c r="R3">
        <v>28901.923449999998</v>
      </c>
      <c r="S3">
        <v>27006.103439999999</v>
      </c>
      <c r="T3">
        <v>24433.93579</v>
      </c>
      <c r="U3">
        <v>21956.86377</v>
      </c>
      <c r="V3">
        <v>19003.338880000007</v>
      </c>
      <c r="W3">
        <v>18494.583930000001</v>
      </c>
      <c r="X3">
        <v>18505.715970000001</v>
      </c>
      <c r="Y3">
        <v>17889.876240000001</v>
      </c>
      <c r="Z3">
        <v>17419.859330000007</v>
      </c>
      <c r="AA3">
        <v>16434.662700000001</v>
      </c>
      <c r="AB3">
        <v>15817.734049999999</v>
      </c>
    </row>
    <row r="4" spans="1:28" x14ac:dyDescent="0.25">
      <c r="A4" t="s">
        <v>28</v>
      </c>
      <c r="B4" t="s">
        <v>37</v>
      </c>
      <c r="C4" t="s">
        <v>30</v>
      </c>
      <c r="D4" t="s">
        <v>31</v>
      </c>
      <c r="E4" t="s">
        <v>32</v>
      </c>
      <c r="F4" t="s">
        <v>33</v>
      </c>
      <c r="G4" t="s">
        <v>33</v>
      </c>
      <c r="H4" t="s">
        <v>33</v>
      </c>
      <c r="I4">
        <v>30330.068810000001</v>
      </c>
      <c r="J4">
        <v>34654.239580000001</v>
      </c>
      <c r="K4">
        <v>40088.075089999998</v>
      </c>
      <c r="L4">
        <v>41748.377339999999</v>
      </c>
      <c r="M4">
        <v>42870.428780000002</v>
      </c>
      <c r="N4">
        <v>43254.565690000003</v>
      </c>
      <c r="O4">
        <v>30460.799350000001</v>
      </c>
      <c r="P4">
        <v>22589.827359999999</v>
      </c>
      <c r="Q4">
        <v>14167.74964</v>
      </c>
      <c r="R4">
        <v>6438.3736500000005</v>
      </c>
      <c r="S4">
        <v>1348.7573829999999</v>
      </c>
      <c r="T4">
        <v>-4040.5260699999999</v>
      </c>
      <c r="U4">
        <v>-6862.1439599999985</v>
      </c>
      <c r="V4">
        <v>-8725.1107150000007</v>
      </c>
      <c r="W4">
        <v>-10265.9917</v>
      </c>
      <c r="X4">
        <v>-11696.994909999999</v>
      </c>
      <c r="Y4">
        <v>-13100.152040000001</v>
      </c>
      <c r="Z4">
        <v>-11003.62851</v>
      </c>
      <c r="AA4">
        <v>-8984.7074720000001</v>
      </c>
      <c r="AB4">
        <v>-6842.0308790000008</v>
      </c>
    </row>
    <row r="5" spans="1:28" x14ac:dyDescent="0.25">
      <c r="A5" t="s">
        <v>28</v>
      </c>
      <c r="B5" t="s">
        <v>38</v>
      </c>
      <c r="C5" t="s">
        <v>30</v>
      </c>
      <c r="D5" t="s">
        <v>31</v>
      </c>
      <c r="E5" t="s">
        <v>32</v>
      </c>
      <c r="F5" t="s">
        <v>33</v>
      </c>
      <c r="G5" t="s">
        <v>33</v>
      </c>
      <c r="H5" t="s">
        <v>33</v>
      </c>
      <c r="I5">
        <v>30330.068810000001</v>
      </c>
      <c r="J5">
        <v>34654.239699999998</v>
      </c>
      <c r="K5">
        <v>40088.075219999999</v>
      </c>
      <c r="L5">
        <v>41748.37902</v>
      </c>
      <c r="M5">
        <v>28707.852470000002</v>
      </c>
      <c r="N5">
        <v>22710.427609999999</v>
      </c>
      <c r="O5">
        <v>15083.19263</v>
      </c>
      <c r="P5">
        <v>7853.611856999999</v>
      </c>
      <c r="Q5">
        <v>575.67524379999986</v>
      </c>
      <c r="R5">
        <v>-6216.7169320000003</v>
      </c>
      <c r="S5">
        <v>-7589.21288</v>
      </c>
      <c r="T5">
        <v>-7980.0165099999977</v>
      </c>
      <c r="U5">
        <v>-8197.6939299999995</v>
      </c>
      <c r="V5">
        <v>-8101.2674109999998</v>
      </c>
      <c r="W5">
        <v>-7886.0807939999977</v>
      </c>
      <c r="X5">
        <v>-7769.4107430000004</v>
      </c>
      <c r="Y5">
        <v>-7503.4404189999996</v>
      </c>
      <c r="Z5">
        <v>-7158.0485010000002</v>
      </c>
      <c r="AA5">
        <v>-6821.0425519999999</v>
      </c>
      <c r="AB5">
        <v>-5990.8503799999999</v>
      </c>
    </row>
    <row r="6" spans="1:28" x14ac:dyDescent="0.25">
      <c r="A6" t="s">
        <v>28</v>
      </c>
      <c r="B6" t="s">
        <v>39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33</v>
      </c>
      <c r="I6">
        <v>30330.068569999999</v>
      </c>
      <c r="J6">
        <v>34654.238730000005</v>
      </c>
      <c r="K6">
        <v>40088.073219999998</v>
      </c>
      <c r="L6">
        <v>41748.377339999999</v>
      </c>
      <c r="M6">
        <v>42870.428780000002</v>
      </c>
      <c r="N6">
        <v>43254.565690000003</v>
      </c>
      <c r="O6">
        <v>44092.383020000001</v>
      </c>
      <c r="P6">
        <v>43654.92957</v>
      </c>
      <c r="Q6">
        <v>43423.74654</v>
      </c>
      <c r="R6">
        <v>42993.373370000001</v>
      </c>
      <c r="S6">
        <v>44085.213730000003</v>
      </c>
      <c r="T6">
        <v>44816.83483</v>
      </c>
      <c r="U6">
        <v>45735.582640000001</v>
      </c>
      <c r="V6">
        <v>46162.812019999998</v>
      </c>
      <c r="W6">
        <v>46702.60411</v>
      </c>
      <c r="X6">
        <v>47606.183590000001</v>
      </c>
      <c r="Y6">
        <v>47749.916140000001</v>
      </c>
      <c r="Z6">
        <v>47904.23704</v>
      </c>
      <c r="AA6">
        <v>48510.541239999999</v>
      </c>
      <c r="AB6">
        <v>47172.662779999999</v>
      </c>
    </row>
    <row r="7" spans="1:28" x14ac:dyDescent="0.25">
      <c r="A7" t="s">
        <v>28</v>
      </c>
      <c r="B7" t="s">
        <v>40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33</v>
      </c>
      <c r="I7">
        <v>30330.068569999999</v>
      </c>
      <c r="J7">
        <v>34654.238740000001</v>
      </c>
      <c r="K7">
        <v>40088.073320000003</v>
      </c>
      <c r="L7">
        <v>41747.491260000003</v>
      </c>
      <c r="M7">
        <v>34422.146520000002</v>
      </c>
      <c r="N7">
        <v>27631.83193</v>
      </c>
      <c r="O7">
        <v>18783.932700000001</v>
      </c>
      <c r="P7">
        <v>10015.22921</v>
      </c>
      <c r="Q7">
        <v>4747.7466679999998</v>
      </c>
      <c r="R7">
        <v>-311.04255269999999</v>
      </c>
      <c r="S7">
        <v>-3236.22615</v>
      </c>
      <c r="T7">
        <v>-4751.9839439999996</v>
      </c>
      <c r="U7">
        <v>-5309.0149600000004</v>
      </c>
      <c r="V7">
        <v>-5702.405898</v>
      </c>
      <c r="W7">
        <v>-5790.9837429999998</v>
      </c>
      <c r="X7">
        <v>-5745.1703170000001</v>
      </c>
      <c r="Y7">
        <v>-5424.8996229999984</v>
      </c>
      <c r="Z7">
        <v>-5135.3792800000001</v>
      </c>
      <c r="AA7">
        <v>-4802.4559710000003</v>
      </c>
      <c r="AB7">
        <v>-4184.5395049999997</v>
      </c>
    </row>
    <row r="8" spans="1:28" x14ac:dyDescent="0.25">
      <c r="A8" t="s">
        <v>41</v>
      </c>
      <c r="B8" t="s">
        <v>29</v>
      </c>
      <c r="C8" t="s">
        <v>30</v>
      </c>
      <c r="D8" t="s">
        <v>31</v>
      </c>
      <c r="E8" t="s">
        <v>32</v>
      </c>
      <c r="F8">
        <v>29417.02582619512</v>
      </c>
      <c r="G8">
        <v>30116.684393562049</v>
      </c>
      <c r="H8">
        <v>32281.145000257049</v>
      </c>
      <c r="I8">
        <v>36621.789087825673</v>
      </c>
      <c r="J8">
        <v>39410.654713591604</v>
      </c>
      <c r="K8">
        <v>43281.865512491539</v>
      </c>
      <c r="L8">
        <v>42186.671120025851</v>
      </c>
      <c r="M8">
        <v>33099.994188346878</v>
      </c>
      <c r="N8">
        <v>28346.452394272113</v>
      </c>
      <c r="O8">
        <v>25099.180893821733</v>
      </c>
      <c r="P8">
        <v>21665.79242979152</v>
      </c>
      <c r="Q8">
        <v>17637.85862969152</v>
      </c>
      <c r="R8">
        <v>13326.325720403709</v>
      </c>
      <c r="S8">
        <v>9831.9233542761685</v>
      </c>
      <c r="T8">
        <v>7120.7952385416093</v>
      </c>
      <c r="U8" t="s">
        <v>33</v>
      </c>
      <c r="V8">
        <v>2438.2968360549039</v>
      </c>
      <c r="W8" t="s">
        <v>33</v>
      </c>
      <c r="X8">
        <v>1.9765012036713999E-3</v>
      </c>
      <c r="Y8" t="s">
        <v>33</v>
      </c>
      <c r="Z8">
        <v>-2.7184535081232002E-3</v>
      </c>
      <c r="AA8" t="s">
        <v>33</v>
      </c>
      <c r="AB8">
        <v>2.6274697802364241E-5</v>
      </c>
    </row>
    <row r="9" spans="1:28" x14ac:dyDescent="0.25">
      <c r="A9" t="s">
        <v>41</v>
      </c>
      <c r="B9" t="s">
        <v>36</v>
      </c>
      <c r="C9" t="s">
        <v>30</v>
      </c>
      <c r="D9" t="s">
        <v>31</v>
      </c>
      <c r="E9" t="s">
        <v>32</v>
      </c>
      <c r="F9">
        <v>29417.02582619512</v>
      </c>
      <c r="G9">
        <v>30116.684393562049</v>
      </c>
      <c r="H9">
        <v>32281.145000257049</v>
      </c>
      <c r="I9">
        <v>36621.789087825673</v>
      </c>
      <c r="J9">
        <v>39410.654713591604</v>
      </c>
      <c r="K9">
        <v>43281.865512491539</v>
      </c>
      <c r="L9">
        <v>42186.671120025851</v>
      </c>
      <c r="M9">
        <v>39683.06873614432</v>
      </c>
      <c r="N9">
        <v>39561.825480562176</v>
      </c>
      <c r="O9">
        <v>39291.989324886177</v>
      </c>
      <c r="P9">
        <v>36993.370241848519</v>
      </c>
      <c r="Q9">
        <v>35315.42921255558</v>
      </c>
      <c r="R9">
        <v>33195.024912105153</v>
      </c>
      <c r="S9">
        <v>31281.624061408511</v>
      </c>
      <c r="T9">
        <v>29501.5211274994</v>
      </c>
      <c r="U9" t="s">
        <v>33</v>
      </c>
      <c r="V9">
        <v>27898.152231434702</v>
      </c>
      <c r="W9" t="s">
        <v>33</v>
      </c>
      <c r="X9">
        <v>26807.176876390531</v>
      </c>
      <c r="Y9" t="s">
        <v>33</v>
      </c>
      <c r="Z9">
        <v>22933.888234910868</v>
      </c>
      <c r="AA9" t="s">
        <v>33</v>
      </c>
      <c r="AB9">
        <v>19522.562542161832</v>
      </c>
    </row>
    <row r="10" spans="1:28" x14ac:dyDescent="0.25">
      <c r="A10" t="s">
        <v>41</v>
      </c>
      <c r="B10" t="s">
        <v>37</v>
      </c>
      <c r="C10" t="s">
        <v>30</v>
      </c>
      <c r="D10" t="s">
        <v>31</v>
      </c>
      <c r="E10" t="s">
        <v>32</v>
      </c>
      <c r="F10">
        <v>29417.02582619512</v>
      </c>
      <c r="G10">
        <v>30116.684393562049</v>
      </c>
      <c r="H10">
        <v>32281.145000257049</v>
      </c>
      <c r="I10">
        <v>36621.789087825673</v>
      </c>
      <c r="J10">
        <v>39410.654713591604</v>
      </c>
      <c r="K10">
        <v>43281.865512491539</v>
      </c>
      <c r="L10">
        <v>42186.671120025851</v>
      </c>
      <c r="M10">
        <v>41961.094133321516</v>
      </c>
      <c r="N10">
        <v>43923.257359876698</v>
      </c>
      <c r="O10">
        <v>29771.63700445</v>
      </c>
      <c r="P10">
        <v>19815.691543802019</v>
      </c>
      <c r="Q10">
        <v>12639.482174998158</v>
      </c>
      <c r="R10">
        <v>7609.6411996500356</v>
      </c>
      <c r="S10">
        <v>3939.2402839180013</v>
      </c>
      <c r="T10">
        <v>1022.5162533390601</v>
      </c>
      <c r="U10" t="s">
        <v>33</v>
      </c>
      <c r="V10">
        <v>-3805.720837562837</v>
      </c>
      <c r="W10" t="s">
        <v>33</v>
      </c>
      <c r="X10">
        <v>-5208.5827543648011</v>
      </c>
      <c r="Y10" t="s">
        <v>33</v>
      </c>
      <c r="Z10">
        <v>-5167.1355989147114</v>
      </c>
      <c r="AA10" t="s">
        <v>33</v>
      </c>
      <c r="AB10">
        <v>-5051.6484070206625</v>
      </c>
    </row>
    <row r="11" spans="1:28" x14ac:dyDescent="0.25">
      <c r="A11" t="s">
        <v>41</v>
      </c>
      <c r="B11" t="s">
        <v>38</v>
      </c>
      <c r="C11" t="s">
        <v>30</v>
      </c>
      <c r="D11" t="s">
        <v>31</v>
      </c>
      <c r="E11" t="s">
        <v>32</v>
      </c>
      <c r="F11">
        <v>29417.02582619512</v>
      </c>
      <c r="G11">
        <v>30116.684393562049</v>
      </c>
      <c r="H11">
        <v>32281.145000257049</v>
      </c>
      <c r="I11">
        <v>36621.789087825673</v>
      </c>
      <c r="J11">
        <v>39410.654713591604</v>
      </c>
      <c r="K11">
        <v>43281.865512491539</v>
      </c>
      <c r="L11">
        <v>42186.671120025851</v>
      </c>
      <c r="M11">
        <v>28093.200518369908</v>
      </c>
      <c r="N11">
        <v>18817.634320397709</v>
      </c>
      <c r="O11">
        <v>12922.2945657445</v>
      </c>
      <c r="P11">
        <v>8732.0017100781079</v>
      </c>
      <c r="Q11">
        <v>5398.3798675856078</v>
      </c>
      <c r="R11">
        <v>2533.3749747834631</v>
      </c>
      <c r="S11">
        <v>671.37653447186619</v>
      </c>
      <c r="T11">
        <v>2.2737367544323211E-13</v>
      </c>
      <c r="U11" t="s">
        <v>33</v>
      </c>
      <c r="V11">
        <v>6.8212102632969618E-13</v>
      </c>
      <c r="W11" t="s">
        <v>33</v>
      </c>
      <c r="X11">
        <v>-9.0949470177292824E-13</v>
      </c>
      <c r="Y11" t="s">
        <v>33</v>
      </c>
      <c r="Z11">
        <v>-7.2759576141834259E-12</v>
      </c>
      <c r="AA11" t="s">
        <v>33</v>
      </c>
      <c r="AB11">
        <v>1.3642420526593922E-12</v>
      </c>
    </row>
    <row r="12" spans="1:28" x14ac:dyDescent="0.25">
      <c r="A12" t="s">
        <v>41</v>
      </c>
      <c r="B12" t="s">
        <v>39</v>
      </c>
      <c r="C12" t="s">
        <v>30</v>
      </c>
      <c r="D12" t="s">
        <v>31</v>
      </c>
      <c r="E12" t="s">
        <v>32</v>
      </c>
      <c r="F12">
        <v>29417.02582619512</v>
      </c>
      <c r="G12">
        <v>30116.684393562049</v>
      </c>
      <c r="H12">
        <v>32281.145000257049</v>
      </c>
      <c r="I12">
        <v>36621.789087825673</v>
      </c>
      <c r="J12">
        <v>39410.654713591604</v>
      </c>
      <c r="K12">
        <v>43281.865512491539</v>
      </c>
      <c r="L12">
        <v>42186.671120025851</v>
      </c>
      <c r="M12">
        <v>41961.094133321516</v>
      </c>
      <c r="N12">
        <v>43923.257359876698</v>
      </c>
      <c r="O12">
        <v>45475.715750024334</v>
      </c>
      <c r="P12">
        <v>46165.963123187146</v>
      </c>
      <c r="Q12">
        <v>47455.607405733732</v>
      </c>
      <c r="R12">
        <v>48830.180786485667</v>
      </c>
      <c r="S12">
        <v>50403.310944739853</v>
      </c>
      <c r="T12">
        <v>50760.492858130165</v>
      </c>
      <c r="U12" t="s">
        <v>33</v>
      </c>
      <c r="V12">
        <v>53578.040980722333</v>
      </c>
      <c r="W12" t="s">
        <v>33</v>
      </c>
      <c r="X12">
        <v>60794.010149574657</v>
      </c>
      <c r="Y12" t="s">
        <v>33</v>
      </c>
      <c r="Z12">
        <v>65799.357243688428</v>
      </c>
      <c r="AA12" t="s">
        <v>33</v>
      </c>
      <c r="AB12">
        <v>68642.039161424123</v>
      </c>
    </row>
    <row r="13" spans="1:28" x14ac:dyDescent="0.25">
      <c r="A13" t="s">
        <v>41</v>
      </c>
      <c r="B13" t="s">
        <v>40</v>
      </c>
      <c r="C13" t="s">
        <v>30</v>
      </c>
      <c r="D13" t="s">
        <v>31</v>
      </c>
      <c r="E13" t="s">
        <v>32</v>
      </c>
      <c r="F13">
        <v>29417.02582619512</v>
      </c>
      <c r="G13">
        <v>30116.684393562049</v>
      </c>
      <c r="H13">
        <v>32281.145000257049</v>
      </c>
      <c r="I13">
        <v>36621.789087825673</v>
      </c>
      <c r="J13">
        <v>39410.654713591604</v>
      </c>
      <c r="K13">
        <v>43281.865512491539</v>
      </c>
      <c r="L13">
        <v>42186.671120025851</v>
      </c>
      <c r="M13">
        <v>28409.169539611139</v>
      </c>
      <c r="N13">
        <v>19639.510376833281</v>
      </c>
      <c r="O13">
        <v>14101.220568433257</v>
      </c>
      <c r="P13">
        <v>10016.85263083363</v>
      </c>
      <c r="Q13">
        <v>6479.9756222775522</v>
      </c>
      <c r="R13">
        <v>3538.5567634343529</v>
      </c>
      <c r="S13">
        <v>1341.1438993801489</v>
      </c>
      <c r="T13">
        <v>-1.30511823665779</v>
      </c>
      <c r="U13" t="s">
        <v>33</v>
      </c>
      <c r="V13">
        <v>-2.1356017933132989</v>
      </c>
      <c r="W13" t="s">
        <v>33</v>
      </c>
      <c r="X13">
        <v>0.52499118885816642</v>
      </c>
      <c r="Y13" t="s">
        <v>33</v>
      </c>
      <c r="Z13">
        <v>1.001323674369587</v>
      </c>
      <c r="AA13" t="s">
        <v>33</v>
      </c>
      <c r="AB13">
        <v>1.007587455774456</v>
      </c>
    </row>
    <row r="14" spans="1:28" x14ac:dyDescent="0.25">
      <c r="A14" t="s">
        <v>42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33</v>
      </c>
      <c r="H14" t="s">
        <v>33</v>
      </c>
      <c r="I14">
        <v>33464.4594</v>
      </c>
      <c r="J14">
        <v>37155.0959</v>
      </c>
      <c r="K14">
        <v>39283.612800000003</v>
      </c>
      <c r="L14">
        <v>39860.860500000003</v>
      </c>
      <c r="M14">
        <v>32974.090900000003</v>
      </c>
      <c r="N14">
        <v>28023.8436</v>
      </c>
      <c r="O14">
        <v>22449.6211</v>
      </c>
      <c r="P14">
        <v>16923.2353</v>
      </c>
      <c r="Q14">
        <v>12756.090200000001</v>
      </c>
      <c r="R14">
        <v>9526.0169999999998</v>
      </c>
      <c r="S14">
        <v>6983.6848</v>
      </c>
      <c r="T14">
        <v>5109.6530000000002</v>
      </c>
      <c r="U14" t="s">
        <v>33</v>
      </c>
      <c r="V14">
        <v>2655.1331</v>
      </c>
      <c r="W14" t="s">
        <v>33</v>
      </c>
      <c r="X14">
        <v>1372.0141000000001</v>
      </c>
      <c r="Y14" t="s">
        <v>33</v>
      </c>
      <c r="Z14">
        <v>673.96029999999996</v>
      </c>
      <c r="AA14" t="s">
        <v>33</v>
      </c>
      <c r="AB14">
        <v>120.9158</v>
      </c>
    </row>
    <row r="15" spans="1:28" x14ac:dyDescent="0.25">
      <c r="A15" t="s">
        <v>42</v>
      </c>
      <c r="B15" t="s">
        <v>36</v>
      </c>
      <c r="C15" t="s">
        <v>30</v>
      </c>
      <c r="D15" t="s">
        <v>31</v>
      </c>
      <c r="E15" t="s">
        <v>32</v>
      </c>
      <c r="F15" t="s">
        <v>33</v>
      </c>
      <c r="G15" t="s">
        <v>33</v>
      </c>
      <c r="H15" t="s">
        <v>33</v>
      </c>
      <c r="I15">
        <v>33464.4594</v>
      </c>
      <c r="J15">
        <v>37155.0959</v>
      </c>
      <c r="K15">
        <v>39283.612800000003</v>
      </c>
      <c r="L15">
        <v>39860.860500000003</v>
      </c>
      <c r="M15">
        <v>40871.447</v>
      </c>
      <c r="N15">
        <v>40720.626799999998</v>
      </c>
      <c r="O15">
        <v>38904.909099999997</v>
      </c>
      <c r="P15">
        <v>34834.107199999999</v>
      </c>
      <c r="Q15">
        <v>30650.155500000001</v>
      </c>
      <c r="R15">
        <v>27857.620299999999</v>
      </c>
      <c r="S15">
        <v>25455.273799999999</v>
      </c>
      <c r="T15">
        <v>23566.9025</v>
      </c>
      <c r="U15" t="s">
        <v>33</v>
      </c>
      <c r="V15">
        <v>18119.073100000001</v>
      </c>
      <c r="W15" t="s">
        <v>33</v>
      </c>
      <c r="X15">
        <v>14001.3706</v>
      </c>
      <c r="Y15" t="s">
        <v>33</v>
      </c>
      <c r="Z15">
        <v>10084.444</v>
      </c>
      <c r="AA15" t="s">
        <v>33</v>
      </c>
      <c r="AB15">
        <v>7721.1935000000003</v>
      </c>
    </row>
    <row r="16" spans="1:28" x14ac:dyDescent="0.25">
      <c r="A16" t="s">
        <v>42</v>
      </c>
      <c r="B16" t="s">
        <v>37</v>
      </c>
      <c r="C16" t="s">
        <v>30</v>
      </c>
      <c r="D16" t="s">
        <v>31</v>
      </c>
      <c r="E16" t="s">
        <v>32</v>
      </c>
      <c r="F16" t="s">
        <v>33</v>
      </c>
      <c r="G16" t="s">
        <v>33</v>
      </c>
      <c r="H16" t="s">
        <v>33</v>
      </c>
      <c r="I16">
        <v>33464.4594</v>
      </c>
      <c r="J16">
        <v>37155.0959</v>
      </c>
      <c r="K16">
        <v>39283.612800000003</v>
      </c>
      <c r="L16">
        <v>39860.860500000003</v>
      </c>
      <c r="M16">
        <v>41286.547400000003</v>
      </c>
      <c r="N16">
        <v>42659.504399999998</v>
      </c>
      <c r="O16">
        <v>25706.991699999999</v>
      </c>
      <c r="P16">
        <v>13929.294900000001</v>
      </c>
      <c r="Q16">
        <v>7513.1229000000003</v>
      </c>
      <c r="R16">
        <v>3190.7209999999995</v>
      </c>
      <c r="S16">
        <v>1198.2917</v>
      </c>
      <c r="T16">
        <v>142.45359999999999</v>
      </c>
      <c r="U16" t="s">
        <v>33</v>
      </c>
      <c r="V16">
        <v>-1568.9648999999999</v>
      </c>
      <c r="W16" t="s">
        <v>33</v>
      </c>
      <c r="X16">
        <v>-2594.0151999999998</v>
      </c>
      <c r="Y16" t="s">
        <v>33</v>
      </c>
      <c r="Z16">
        <v>-2821.9337999999998</v>
      </c>
      <c r="AA16" t="s">
        <v>33</v>
      </c>
      <c r="AB16">
        <v>-3191.1078000000002</v>
      </c>
    </row>
    <row r="17" spans="1:28" x14ac:dyDescent="0.25">
      <c r="A17" t="s">
        <v>42</v>
      </c>
      <c r="B17" t="s">
        <v>38</v>
      </c>
      <c r="C17" t="s">
        <v>30</v>
      </c>
      <c r="D17" t="s">
        <v>31</v>
      </c>
      <c r="E17" t="s">
        <v>32</v>
      </c>
      <c r="F17" t="s">
        <v>33</v>
      </c>
      <c r="G17" t="s">
        <v>33</v>
      </c>
      <c r="H17" t="s">
        <v>33</v>
      </c>
      <c r="I17">
        <v>33464.4594</v>
      </c>
      <c r="J17">
        <v>37155.0959</v>
      </c>
      <c r="K17">
        <v>39283.612800000003</v>
      </c>
      <c r="L17">
        <v>39860.860500000003</v>
      </c>
      <c r="M17">
        <v>28935.99</v>
      </c>
      <c r="N17">
        <v>19112.166799999999</v>
      </c>
      <c r="O17">
        <v>12160.9422</v>
      </c>
      <c r="P17">
        <v>7279.0528000000004</v>
      </c>
      <c r="Q17">
        <v>3902.5821999999998</v>
      </c>
      <c r="R17">
        <v>1372.9554000000001</v>
      </c>
      <c r="S17">
        <v>-156.28870000000001</v>
      </c>
      <c r="T17">
        <v>-1200.2236</v>
      </c>
      <c r="U17" t="s">
        <v>33</v>
      </c>
      <c r="V17">
        <v>-2187.7543000000001</v>
      </c>
      <c r="W17" t="s">
        <v>33</v>
      </c>
      <c r="X17">
        <v>-2554.8512000000001</v>
      </c>
      <c r="Y17" t="s">
        <v>33</v>
      </c>
      <c r="Z17">
        <v>-2991.0599000000002</v>
      </c>
      <c r="AA17" t="s">
        <v>33</v>
      </c>
      <c r="AB17">
        <v>-3628.0646999999999</v>
      </c>
    </row>
    <row r="18" spans="1:28" x14ac:dyDescent="0.25">
      <c r="A18" t="s">
        <v>42</v>
      </c>
      <c r="B18" t="s">
        <v>39</v>
      </c>
      <c r="C18" t="s">
        <v>30</v>
      </c>
      <c r="D18" t="s">
        <v>31</v>
      </c>
      <c r="E18" t="s">
        <v>32</v>
      </c>
      <c r="F18" t="s">
        <v>33</v>
      </c>
      <c r="G18" t="s">
        <v>33</v>
      </c>
      <c r="H18" t="s">
        <v>33</v>
      </c>
      <c r="I18">
        <v>33464.4594</v>
      </c>
      <c r="J18">
        <v>37155.0959</v>
      </c>
      <c r="K18">
        <v>39283.612800000003</v>
      </c>
      <c r="L18">
        <v>39860.860500000003</v>
      </c>
      <c r="M18">
        <v>41286.547400000003</v>
      </c>
      <c r="N18">
        <v>42659.504399999998</v>
      </c>
      <c r="O18">
        <v>43132.513099999996</v>
      </c>
      <c r="P18">
        <v>42609.539299999997</v>
      </c>
      <c r="Q18">
        <v>42184.798600000002</v>
      </c>
      <c r="R18">
        <v>41927.364500000003</v>
      </c>
      <c r="S18">
        <v>41317.866199999997</v>
      </c>
      <c r="T18">
        <v>40758.660199999998</v>
      </c>
      <c r="U18" t="s">
        <v>33</v>
      </c>
      <c r="V18">
        <v>39453.8632</v>
      </c>
      <c r="W18" t="s">
        <v>33</v>
      </c>
      <c r="X18">
        <v>38015.771699999998</v>
      </c>
      <c r="Y18" t="s">
        <v>33</v>
      </c>
      <c r="Z18">
        <v>34313.074200000003</v>
      </c>
      <c r="AA18" t="s">
        <v>33</v>
      </c>
      <c r="AB18">
        <v>30117.5566</v>
      </c>
    </row>
    <row r="19" spans="1:28" x14ac:dyDescent="0.25">
      <c r="A19" t="s">
        <v>42</v>
      </c>
      <c r="B19" t="s">
        <v>40</v>
      </c>
      <c r="C19" t="s">
        <v>30</v>
      </c>
      <c r="D19" t="s">
        <v>31</v>
      </c>
      <c r="E19" t="s">
        <v>32</v>
      </c>
      <c r="F19" t="s">
        <v>33</v>
      </c>
      <c r="G19" t="s">
        <v>33</v>
      </c>
      <c r="H19" t="s">
        <v>33</v>
      </c>
      <c r="I19">
        <v>33464.4594</v>
      </c>
      <c r="J19">
        <v>37155.0959</v>
      </c>
      <c r="K19">
        <v>39283.612800000003</v>
      </c>
      <c r="L19">
        <v>39860.860500000003</v>
      </c>
      <c r="M19">
        <v>29041.9738</v>
      </c>
      <c r="N19">
        <v>19052.595600000001</v>
      </c>
      <c r="O19">
        <v>12582.2683</v>
      </c>
      <c r="P19">
        <v>7663.1894000000002</v>
      </c>
      <c r="Q19">
        <v>3806.8609000000001</v>
      </c>
      <c r="R19">
        <v>940.96799999999996</v>
      </c>
      <c r="S19">
        <v>-523.03729999999996</v>
      </c>
      <c r="T19">
        <v>-1110.9074000000001</v>
      </c>
      <c r="U19" t="s">
        <v>33</v>
      </c>
      <c r="V19">
        <v>-1248.2173</v>
      </c>
      <c r="W19" t="s">
        <v>33</v>
      </c>
      <c r="X19">
        <v>-1013.034</v>
      </c>
      <c r="Y19" t="s">
        <v>33</v>
      </c>
      <c r="Z19">
        <v>-848.07709999999997</v>
      </c>
      <c r="AA19" t="s">
        <v>33</v>
      </c>
      <c r="AB19">
        <v>-956.95659999999998</v>
      </c>
    </row>
    <row r="20" spans="1:28" x14ac:dyDescent="0.25">
      <c r="A20" t="s">
        <v>28</v>
      </c>
      <c r="B20" t="s">
        <v>29</v>
      </c>
      <c r="C20" t="s">
        <v>30</v>
      </c>
      <c r="D20" t="s">
        <v>34</v>
      </c>
      <c r="E20" t="s">
        <v>35</v>
      </c>
      <c r="F20" t="s">
        <v>33</v>
      </c>
      <c r="G20" t="s">
        <v>33</v>
      </c>
      <c r="H20" t="s">
        <v>33</v>
      </c>
      <c r="I20">
        <v>0</v>
      </c>
      <c r="J20">
        <v>0</v>
      </c>
      <c r="K20">
        <v>0</v>
      </c>
      <c r="L20">
        <v>0</v>
      </c>
      <c r="M20">
        <v>41.488170000000004</v>
      </c>
      <c r="N20">
        <v>77.321910000000003</v>
      </c>
      <c r="O20">
        <v>109.0941</v>
      </c>
      <c r="P20">
        <v>134.83160000000001</v>
      </c>
      <c r="Q20">
        <v>184.37</v>
      </c>
      <c r="R20">
        <v>265.76209999999998</v>
      </c>
      <c r="S20">
        <v>390.43</v>
      </c>
      <c r="T20">
        <v>584.57259999999997</v>
      </c>
      <c r="U20">
        <v>931.12729999999999</v>
      </c>
      <c r="V20">
        <v>854.12249999999995</v>
      </c>
      <c r="W20">
        <v>789.50399999999991</v>
      </c>
      <c r="X20">
        <v>761.07259999999997</v>
      </c>
      <c r="Y20">
        <v>751.57209999999998</v>
      </c>
      <c r="Z20">
        <v>755.90070000000003</v>
      </c>
      <c r="AA20">
        <v>769.93240000000003</v>
      </c>
      <c r="AB20">
        <v>852.2373</v>
      </c>
    </row>
    <row r="21" spans="1:28" x14ac:dyDescent="0.25">
      <c r="A21" t="s">
        <v>28</v>
      </c>
      <c r="B21" t="s">
        <v>36</v>
      </c>
      <c r="C21" t="s">
        <v>30</v>
      </c>
      <c r="D21" t="s">
        <v>34</v>
      </c>
      <c r="E21" t="s">
        <v>35</v>
      </c>
      <c r="F21" t="s">
        <v>33</v>
      </c>
      <c r="G21" t="s">
        <v>33</v>
      </c>
      <c r="H21" t="s">
        <v>33</v>
      </c>
      <c r="I21">
        <v>0</v>
      </c>
      <c r="J21">
        <v>0</v>
      </c>
      <c r="K21">
        <v>0</v>
      </c>
      <c r="L21">
        <v>0</v>
      </c>
      <c r="M21">
        <v>30.141540000000003</v>
      </c>
      <c r="N21">
        <v>80.051190000000005</v>
      </c>
      <c r="O21">
        <v>83.23066</v>
      </c>
      <c r="P21">
        <v>95.760019999999997</v>
      </c>
      <c r="Q21">
        <v>124.3381</v>
      </c>
      <c r="R21">
        <v>157.17570000000001</v>
      </c>
      <c r="S21">
        <v>184.9196</v>
      </c>
      <c r="T21">
        <v>221.4282</v>
      </c>
      <c r="U21">
        <v>264.608</v>
      </c>
      <c r="V21">
        <v>304.84370000000001</v>
      </c>
      <c r="W21">
        <v>351.72250000000003</v>
      </c>
      <c r="X21">
        <v>403.5324</v>
      </c>
      <c r="Y21">
        <v>441.4966</v>
      </c>
      <c r="Z21">
        <v>477.62199999999996</v>
      </c>
      <c r="AA21">
        <v>521.12630000000001</v>
      </c>
      <c r="AB21">
        <v>583.17750000000001</v>
      </c>
    </row>
    <row r="22" spans="1:28" x14ac:dyDescent="0.25">
      <c r="A22" t="s">
        <v>28</v>
      </c>
      <c r="B22" t="s">
        <v>37</v>
      </c>
      <c r="C22" t="s">
        <v>30</v>
      </c>
      <c r="D22" t="s">
        <v>34</v>
      </c>
      <c r="E22" t="s">
        <v>35</v>
      </c>
      <c r="F22" t="s">
        <v>33</v>
      </c>
      <c r="G22" t="s">
        <v>33</v>
      </c>
      <c r="H22" t="s">
        <v>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135.28370000000001</v>
      </c>
      <c r="P22">
        <v>188.91370000000001</v>
      </c>
      <c r="Q22">
        <v>328.81369999999998</v>
      </c>
      <c r="R22">
        <v>704.01100000000008</v>
      </c>
      <c r="S22">
        <v>908.89459999999997</v>
      </c>
      <c r="T22">
        <v>1563.6760000000002</v>
      </c>
      <c r="U22">
        <v>2331.393</v>
      </c>
      <c r="V22">
        <v>3099.1120000000001</v>
      </c>
      <c r="W22">
        <v>3866.828</v>
      </c>
      <c r="X22">
        <v>4634.5410000000002</v>
      </c>
      <c r="Y22">
        <v>5402.2759999999998</v>
      </c>
      <c r="Z22">
        <v>6169.9830000000002</v>
      </c>
      <c r="AA22">
        <v>6937.71</v>
      </c>
      <c r="AB22">
        <v>7705.4169999999995</v>
      </c>
    </row>
    <row r="23" spans="1:28" x14ac:dyDescent="0.25">
      <c r="A23" t="s">
        <v>28</v>
      </c>
      <c r="B23" t="s">
        <v>38</v>
      </c>
      <c r="C23" t="s">
        <v>30</v>
      </c>
      <c r="D23" t="s">
        <v>34</v>
      </c>
      <c r="E23" t="s">
        <v>35</v>
      </c>
      <c r="F23" t="s">
        <v>33</v>
      </c>
      <c r="G23" t="s">
        <v>33</v>
      </c>
      <c r="H23" t="s">
        <v>33</v>
      </c>
      <c r="I23">
        <v>0</v>
      </c>
      <c r="J23">
        <v>0</v>
      </c>
      <c r="K23">
        <v>0</v>
      </c>
      <c r="L23">
        <v>0</v>
      </c>
      <c r="M23">
        <v>204.28110000000001</v>
      </c>
      <c r="N23">
        <v>263.68560000000002</v>
      </c>
      <c r="O23">
        <v>353.26</v>
      </c>
      <c r="P23">
        <v>421.81420000000003</v>
      </c>
      <c r="Q23">
        <v>741.14779999999996</v>
      </c>
      <c r="R23">
        <v>1646.5650000000001</v>
      </c>
      <c r="S23">
        <v>1791.6229999999998</v>
      </c>
      <c r="T23">
        <v>1793.98</v>
      </c>
      <c r="U23">
        <v>1994.3489999999999</v>
      </c>
      <c r="V23">
        <v>2082.9299999999998</v>
      </c>
      <c r="W23">
        <v>2147.3670000000002</v>
      </c>
      <c r="X23">
        <v>2595.6669999999999</v>
      </c>
      <c r="Y23">
        <v>2539.3910000000001</v>
      </c>
      <c r="Z23">
        <v>2417.9120000000003</v>
      </c>
      <c r="AA23">
        <v>2256.2539999999999</v>
      </c>
      <c r="AB23">
        <v>2252.4720000000002</v>
      </c>
    </row>
    <row r="24" spans="1:28" x14ac:dyDescent="0.25">
      <c r="A24" t="s">
        <v>28</v>
      </c>
      <c r="B24" t="s">
        <v>40</v>
      </c>
      <c r="C24" t="s">
        <v>30</v>
      </c>
      <c r="D24" t="s">
        <v>34</v>
      </c>
      <c r="E24" t="s">
        <v>35</v>
      </c>
      <c r="F24" t="s">
        <v>33</v>
      </c>
      <c r="G24" t="s">
        <v>33</v>
      </c>
      <c r="H24" t="s">
        <v>33</v>
      </c>
      <c r="I24">
        <v>0</v>
      </c>
      <c r="J24">
        <v>0</v>
      </c>
      <c r="K24">
        <v>0</v>
      </c>
      <c r="L24">
        <v>0</v>
      </c>
      <c r="M24">
        <v>61.072730000000007</v>
      </c>
      <c r="N24">
        <v>96.864159999999998</v>
      </c>
      <c r="O24">
        <v>137.71459999999999</v>
      </c>
      <c r="P24">
        <v>174.7602</v>
      </c>
      <c r="Q24">
        <v>267.63299999999998</v>
      </c>
      <c r="R24">
        <v>562.22929999999997</v>
      </c>
      <c r="S24">
        <v>762.24890000000005</v>
      </c>
      <c r="T24">
        <v>856.66920000000005</v>
      </c>
      <c r="U24">
        <v>908.3098</v>
      </c>
      <c r="V24">
        <v>1115.193</v>
      </c>
      <c r="W24">
        <v>1455.9829999999999</v>
      </c>
      <c r="X24">
        <v>1951.8050000000001</v>
      </c>
      <c r="Y24">
        <v>2030.2979999999998</v>
      </c>
      <c r="Z24">
        <v>2245.5619999999999</v>
      </c>
      <c r="AA24">
        <v>2478.567</v>
      </c>
      <c r="AB24">
        <v>3165.7709999999997</v>
      </c>
    </row>
    <row r="25" spans="1:28" x14ac:dyDescent="0.25">
      <c r="A25" t="s">
        <v>41</v>
      </c>
      <c r="B25" t="s">
        <v>29</v>
      </c>
      <c r="C25" t="s">
        <v>30</v>
      </c>
      <c r="D25" t="s">
        <v>34</v>
      </c>
      <c r="E25" t="s">
        <v>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4.8537235757251063</v>
      </c>
      <c r="M25">
        <v>41.916473484964179</v>
      </c>
      <c r="N25">
        <v>54.39006536791851</v>
      </c>
      <c r="O25">
        <v>63.206854232538959</v>
      </c>
      <c r="P25">
        <v>90.449600583888127</v>
      </c>
      <c r="Q25">
        <v>110.40267002124149</v>
      </c>
      <c r="R25">
        <v>132.2000821858727</v>
      </c>
      <c r="S25">
        <v>184.41540146414482</v>
      </c>
      <c r="T25">
        <v>242.34215426886368</v>
      </c>
      <c r="U25" t="s">
        <v>33</v>
      </c>
      <c r="V25">
        <v>329.54697463782122</v>
      </c>
      <c r="W25" t="s">
        <v>33</v>
      </c>
      <c r="X25">
        <v>279.60332550840099</v>
      </c>
      <c r="Y25" t="s">
        <v>33</v>
      </c>
      <c r="Z25">
        <v>230.97609621719081</v>
      </c>
      <c r="AA25" t="s">
        <v>33</v>
      </c>
      <c r="AB25">
        <v>202.59459287861691</v>
      </c>
    </row>
    <row r="26" spans="1:28" x14ac:dyDescent="0.25">
      <c r="A26" t="s">
        <v>41</v>
      </c>
      <c r="B26" t="s">
        <v>36</v>
      </c>
      <c r="C26" t="s">
        <v>30</v>
      </c>
      <c r="D26" t="s">
        <v>34</v>
      </c>
      <c r="E26" t="s">
        <v>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4.8537235757251063</v>
      </c>
      <c r="M26">
        <v>25.653253147432604</v>
      </c>
      <c r="N26">
        <v>111.77123835051891</v>
      </c>
      <c r="O26">
        <v>122.9453801725178</v>
      </c>
      <c r="P26">
        <v>122.07728877463181</v>
      </c>
      <c r="Q26">
        <v>121.20919737674579</v>
      </c>
      <c r="R26">
        <v>120.3411059788598</v>
      </c>
      <c r="S26">
        <v>119.47301458097392</v>
      </c>
      <c r="T26">
        <v>118.60492318308791</v>
      </c>
      <c r="U26" t="s">
        <v>33</v>
      </c>
      <c r="V26">
        <v>116.8687403873159</v>
      </c>
      <c r="W26" t="s">
        <v>33</v>
      </c>
      <c r="X26">
        <v>115.1325575915439</v>
      </c>
      <c r="Y26" t="s">
        <v>33</v>
      </c>
      <c r="Z26">
        <v>113.39637479577191</v>
      </c>
      <c r="AA26" t="s">
        <v>33</v>
      </c>
      <c r="AB26">
        <v>111.660192</v>
      </c>
    </row>
    <row r="27" spans="1:28" x14ac:dyDescent="0.25">
      <c r="A27" t="s">
        <v>41</v>
      </c>
      <c r="B27" t="s">
        <v>37</v>
      </c>
      <c r="C27" t="s">
        <v>30</v>
      </c>
      <c r="D27" t="s">
        <v>34</v>
      </c>
      <c r="E27" t="s">
        <v>35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4.8537235757251063</v>
      </c>
      <c r="M27">
        <v>5.8997619817217508</v>
      </c>
      <c r="N27">
        <v>2.5716173967163112</v>
      </c>
      <c r="O27">
        <v>354.44984674803635</v>
      </c>
      <c r="P27">
        <v>643.52837593301228</v>
      </c>
      <c r="Q27">
        <v>580.70085149936062</v>
      </c>
      <c r="R27">
        <v>925.41031076387071</v>
      </c>
      <c r="S27">
        <v>1618.740138619394</v>
      </c>
      <c r="T27">
        <v>1269.7917677902651</v>
      </c>
      <c r="U27" t="s">
        <v>33</v>
      </c>
      <c r="V27">
        <v>2162.781183486029</v>
      </c>
      <c r="W27" t="s">
        <v>33</v>
      </c>
      <c r="X27">
        <v>511.81981998527789</v>
      </c>
      <c r="Y27" t="s">
        <v>33</v>
      </c>
      <c r="Z27">
        <v>467.85120799104243</v>
      </c>
      <c r="AA27" t="s">
        <v>33</v>
      </c>
      <c r="AB27">
        <v>267.07561359594911</v>
      </c>
    </row>
    <row r="28" spans="1:28" x14ac:dyDescent="0.25">
      <c r="A28" t="s">
        <v>41</v>
      </c>
      <c r="B28" t="s">
        <v>38</v>
      </c>
      <c r="C28" t="s">
        <v>30</v>
      </c>
      <c r="D28" t="s">
        <v>34</v>
      </c>
      <c r="E28" t="s">
        <v>35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4.8537235757251063</v>
      </c>
      <c r="M28">
        <v>167.33169932018899</v>
      </c>
      <c r="N28">
        <v>225.38883414036567</v>
      </c>
      <c r="O28">
        <v>314.17575439265812</v>
      </c>
      <c r="P28">
        <v>369.95697371669098</v>
      </c>
      <c r="Q28">
        <v>484.71591707827599</v>
      </c>
      <c r="R28">
        <v>709.56794340757449</v>
      </c>
      <c r="S28">
        <v>1103.468560080589</v>
      </c>
      <c r="T28">
        <v>1336.0399100025861</v>
      </c>
      <c r="U28" t="s">
        <v>33</v>
      </c>
      <c r="V28">
        <v>505.94779068910373</v>
      </c>
      <c r="W28" t="s">
        <v>33</v>
      </c>
      <c r="X28">
        <v>428.88397764788778</v>
      </c>
      <c r="Y28" t="s">
        <v>33</v>
      </c>
      <c r="Z28">
        <v>506.53248749301531</v>
      </c>
      <c r="AA28" t="s">
        <v>33</v>
      </c>
      <c r="AB28">
        <v>444.99405295767463</v>
      </c>
    </row>
    <row r="29" spans="1:28" x14ac:dyDescent="0.25">
      <c r="A29" t="s">
        <v>41</v>
      </c>
      <c r="B29" t="s">
        <v>39</v>
      </c>
      <c r="C29" t="s">
        <v>30</v>
      </c>
      <c r="D29" t="s">
        <v>34</v>
      </c>
      <c r="E29" t="s">
        <v>35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4.8537235757251063</v>
      </c>
      <c r="M29">
        <v>5.8997619817217508</v>
      </c>
      <c r="N29">
        <v>2.5716173967163112</v>
      </c>
      <c r="O29">
        <v>3.7576935225357739</v>
      </c>
      <c r="P29">
        <v>4.6667035900330216</v>
      </c>
      <c r="Q29">
        <v>5.5757136575302697</v>
      </c>
      <c r="R29">
        <v>6.4847237250275169</v>
      </c>
      <c r="S29">
        <v>7.3937337925247633</v>
      </c>
      <c r="T29">
        <v>8.302743860022014</v>
      </c>
      <c r="U29" t="s">
        <v>33</v>
      </c>
      <c r="V29">
        <v>10.120763995016508</v>
      </c>
      <c r="W29" t="s">
        <v>33</v>
      </c>
      <c r="X29">
        <v>11.93878413001101</v>
      </c>
      <c r="Y29" t="s">
        <v>33</v>
      </c>
      <c r="Z29">
        <v>13.756804265005501</v>
      </c>
      <c r="AA29" t="s">
        <v>33</v>
      </c>
      <c r="AB29">
        <v>15.574824400000001</v>
      </c>
    </row>
    <row r="30" spans="1:28" x14ac:dyDescent="0.25">
      <c r="A30" t="s">
        <v>41</v>
      </c>
      <c r="B30" t="s">
        <v>40</v>
      </c>
      <c r="C30" t="s">
        <v>30</v>
      </c>
      <c r="D30" t="s">
        <v>34</v>
      </c>
      <c r="E30" t="s">
        <v>35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4.8537235757251063</v>
      </c>
      <c r="M30">
        <v>145.49692785245759</v>
      </c>
      <c r="N30">
        <v>197.74385446776131</v>
      </c>
      <c r="O30">
        <v>275.30404648400952</v>
      </c>
      <c r="P30">
        <v>337.56748897535471</v>
      </c>
      <c r="Q30">
        <v>416.72852947514298</v>
      </c>
      <c r="R30">
        <v>486.23095119246011</v>
      </c>
      <c r="S30">
        <v>778.75967068657587</v>
      </c>
      <c r="T30">
        <v>602.75278334116672</v>
      </c>
      <c r="U30" t="s">
        <v>33</v>
      </c>
      <c r="V30">
        <v>255.49453671654689</v>
      </c>
      <c r="W30" t="s">
        <v>33</v>
      </c>
      <c r="X30">
        <v>210.5413141562735</v>
      </c>
      <c r="Y30" t="s">
        <v>33</v>
      </c>
      <c r="Z30">
        <v>256.96105841722482</v>
      </c>
      <c r="AA30" t="s">
        <v>33</v>
      </c>
      <c r="AB30">
        <v>215.78437945794258</v>
      </c>
    </row>
    <row r="31" spans="1:28" x14ac:dyDescent="0.25">
      <c r="A31" t="s">
        <v>42</v>
      </c>
      <c r="B31" t="s">
        <v>29</v>
      </c>
      <c r="C31" t="s">
        <v>30</v>
      </c>
      <c r="D31" t="s">
        <v>34</v>
      </c>
      <c r="E31" t="s">
        <v>35</v>
      </c>
      <c r="F31" t="s">
        <v>33</v>
      </c>
      <c r="G31" t="s">
        <v>33</v>
      </c>
      <c r="H31" t="s">
        <v>33</v>
      </c>
      <c r="I31">
        <v>0</v>
      </c>
      <c r="J31">
        <v>2.092916931</v>
      </c>
      <c r="K31">
        <v>1.705778037</v>
      </c>
      <c r="L31">
        <v>2.9878992430000002</v>
      </c>
      <c r="M31">
        <v>43.00645832</v>
      </c>
      <c r="N31">
        <v>57.88827603</v>
      </c>
      <c r="O31">
        <v>77.984997089999993</v>
      </c>
      <c r="P31">
        <v>106.11644240000001</v>
      </c>
      <c r="Q31">
        <v>144.30585219999998</v>
      </c>
      <c r="R31">
        <v>193.375765</v>
      </c>
      <c r="S31">
        <v>217.54870879999999</v>
      </c>
      <c r="T31">
        <v>241.72368459999998</v>
      </c>
      <c r="U31" t="s">
        <v>33</v>
      </c>
      <c r="V31">
        <v>290.06892969999996</v>
      </c>
      <c r="W31" t="s">
        <v>33</v>
      </c>
      <c r="X31">
        <v>338.42586969999996</v>
      </c>
      <c r="Y31" t="s">
        <v>33</v>
      </c>
      <c r="Z31">
        <v>386.77054609999999</v>
      </c>
      <c r="AA31" t="s">
        <v>33</v>
      </c>
      <c r="AB31">
        <v>419.99288150000007</v>
      </c>
    </row>
    <row r="32" spans="1:28" x14ac:dyDescent="0.25">
      <c r="A32" t="s">
        <v>42</v>
      </c>
      <c r="B32" t="s">
        <v>36</v>
      </c>
      <c r="C32" t="s">
        <v>30</v>
      </c>
      <c r="D32" t="s">
        <v>34</v>
      </c>
      <c r="E32" t="s">
        <v>35</v>
      </c>
      <c r="F32" t="s">
        <v>33</v>
      </c>
      <c r="G32" t="s">
        <v>33</v>
      </c>
      <c r="H32" t="s">
        <v>33</v>
      </c>
      <c r="I32">
        <v>0</v>
      </c>
      <c r="J32">
        <v>2.092916931</v>
      </c>
      <c r="K32">
        <v>1.705778037</v>
      </c>
      <c r="L32">
        <v>2.9878992430000002</v>
      </c>
      <c r="M32">
        <v>8.5318040849999992</v>
      </c>
      <c r="N32">
        <v>9.9717474020000001</v>
      </c>
      <c r="O32">
        <v>14.71645582</v>
      </c>
      <c r="P32">
        <v>20.85927783</v>
      </c>
      <c r="Q32">
        <v>27.34309433</v>
      </c>
      <c r="R32">
        <v>34.055425270000001</v>
      </c>
      <c r="S32">
        <v>41.170287739999999</v>
      </c>
      <c r="T32">
        <v>48.354435340000002</v>
      </c>
      <c r="U32" t="s">
        <v>33</v>
      </c>
      <c r="V32">
        <v>62.539924480000003</v>
      </c>
      <c r="W32" t="s">
        <v>33</v>
      </c>
      <c r="X32">
        <v>75.505701430000002</v>
      </c>
      <c r="Y32" t="s">
        <v>33</v>
      </c>
      <c r="Z32">
        <v>87.702689390000003</v>
      </c>
      <c r="AA32" t="s">
        <v>33</v>
      </c>
      <c r="AB32">
        <v>100.8030189</v>
      </c>
    </row>
    <row r="33" spans="1:28" x14ac:dyDescent="0.25">
      <c r="A33" t="s">
        <v>42</v>
      </c>
      <c r="B33" t="s">
        <v>37</v>
      </c>
      <c r="C33" t="s">
        <v>30</v>
      </c>
      <c r="D33" t="s">
        <v>34</v>
      </c>
      <c r="E33" t="s">
        <v>35</v>
      </c>
      <c r="F33" t="s">
        <v>33</v>
      </c>
      <c r="G33" t="s">
        <v>33</v>
      </c>
      <c r="H33" t="s">
        <v>33</v>
      </c>
      <c r="I33">
        <v>0</v>
      </c>
      <c r="J33">
        <v>2.092916931</v>
      </c>
      <c r="K33">
        <v>1.705778037</v>
      </c>
      <c r="L33">
        <v>2.9878992430000002</v>
      </c>
      <c r="M33">
        <v>2.4887119430000002</v>
      </c>
      <c r="N33">
        <v>2.4910837480000003</v>
      </c>
      <c r="O33">
        <v>231.86495589999998</v>
      </c>
      <c r="P33">
        <v>332.16299169999996</v>
      </c>
      <c r="Q33">
        <v>460.28678189999999</v>
      </c>
      <c r="R33">
        <v>621.92480079999996</v>
      </c>
      <c r="S33">
        <v>684.01217900000006</v>
      </c>
      <c r="T33">
        <v>751.75465470000006</v>
      </c>
      <c r="U33" t="s">
        <v>33</v>
      </c>
      <c r="V33">
        <v>849.09851379999998</v>
      </c>
      <c r="W33" t="s">
        <v>33</v>
      </c>
      <c r="X33">
        <v>950.42890279999995</v>
      </c>
      <c r="Y33" t="s">
        <v>33</v>
      </c>
      <c r="Z33">
        <v>1050.0433130000001</v>
      </c>
      <c r="AA33" t="s">
        <v>33</v>
      </c>
      <c r="AB33">
        <v>1152.514083</v>
      </c>
    </row>
    <row r="34" spans="1:28" x14ac:dyDescent="0.25">
      <c r="A34" t="s">
        <v>42</v>
      </c>
      <c r="B34" t="s">
        <v>38</v>
      </c>
      <c r="C34" t="s">
        <v>30</v>
      </c>
      <c r="D34" t="s">
        <v>34</v>
      </c>
      <c r="E34" t="s">
        <v>35</v>
      </c>
      <c r="F34" t="s">
        <v>33</v>
      </c>
      <c r="G34" t="s">
        <v>33</v>
      </c>
      <c r="H34" t="s">
        <v>33</v>
      </c>
      <c r="I34">
        <v>0</v>
      </c>
      <c r="J34">
        <v>2.0929169311659299</v>
      </c>
      <c r="K34">
        <v>1.70577803685185</v>
      </c>
      <c r="L34">
        <v>2.98789924252827</v>
      </c>
      <c r="M34">
        <v>185.88859299999999</v>
      </c>
      <c r="N34">
        <v>278.40488599999998</v>
      </c>
      <c r="O34">
        <v>392.89768379999998</v>
      </c>
      <c r="P34">
        <v>511.14427269999999</v>
      </c>
      <c r="Q34">
        <v>647.53119579999998</v>
      </c>
      <c r="R34">
        <v>783.15905950000001</v>
      </c>
      <c r="S34">
        <v>806.65008620000003</v>
      </c>
      <c r="T34">
        <v>793.80636789999994</v>
      </c>
      <c r="U34" t="s">
        <v>33</v>
      </c>
      <c r="V34">
        <v>828.87866339999994</v>
      </c>
      <c r="W34" t="s">
        <v>33</v>
      </c>
      <c r="X34">
        <v>859.62014289999991</v>
      </c>
      <c r="Y34" t="s">
        <v>33</v>
      </c>
      <c r="Z34">
        <v>901.87851189999992</v>
      </c>
      <c r="AA34" t="s">
        <v>33</v>
      </c>
      <c r="AB34">
        <v>925.50793820000013</v>
      </c>
    </row>
    <row r="35" spans="1:28" x14ac:dyDescent="0.25">
      <c r="A35" t="s">
        <v>42</v>
      </c>
      <c r="B35" t="s">
        <v>39</v>
      </c>
      <c r="C35" t="s">
        <v>30</v>
      </c>
      <c r="D35" t="s">
        <v>34</v>
      </c>
      <c r="E35" t="s">
        <v>35</v>
      </c>
      <c r="F35" t="s">
        <v>33</v>
      </c>
      <c r="G35" t="s">
        <v>33</v>
      </c>
      <c r="H35" t="s">
        <v>33</v>
      </c>
      <c r="I35">
        <v>0</v>
      </c>
      <c r="J35">
        <v>2.092916931</v>
      </c>
      <c r="K35">
        <v>1.705778037</v>
      </c>
      <c r="L35">
        <v>2.9878992430000002</v>
      </c>
      <c r="M35">
        <v>2.4887119430000002</v>
      </c>
      <c r="N35">
        <v>2.4910837480000003</v>
      </c>
      <c r="O35">
        <v>2.6346680030000003</v>
      </c>
      <c r="P35">
        <v>2.8573864210000002</v>
      </c>
      <c r="Q35">
        <v>3.1455707639999999</v>
      </c>
      <c r="R35">
        <v>3.5555389219999998</v>
      </c>
      <c r="S35">
        <v>4.0910864739999999</v>
      </c>
      <c r="T35">
        <v>4.7421590989999993</v>
      </c>
      <c r="U35" t="s">
        <v>33</v>
      </c>
      <c r="V35">
        <v>6.29624395</v>
      </c>
      <c r="W35" t="s">
        <v>33</v>
      </c>
      <c r="X35">
        <v>8.2881944819999998</v>
      </c>
      <c r="Y35" t="s">
        <v>33</v>
      </c>
      <c r="Z35">
        <v>10.836518809999999</v>
      </c>
      <c r="AA35" t="s">
        <v>33</v>
      </c>
      <c r="AB35">
        <v>14.06180724</v>
      </c>
    </row>
    <row r="36" spans="1:28" x14ac:dyDescent="0.25">
      <c r="A36" t="s">
        <v>42</v>
      </c>
      <c r="B36" t="s">
        <v>40</v>
      </c>
      <c r="C36" t="s">
        <v>30</v>
      </c>
      <c r="D36" t="s">
        <v>34</v>
      </c>
      <c r="E36" t="s">
        <v>35</v>
      </c>
      <c r="F36" t="s">
        <v>33</v>
      </c>
      <c r="G36" t="s">
        <v>33</v>
      </c>
      <c r="H36" t="s">
        <v>33</v>
      </c>
      <c r="I36">
        <v>0</v>
      </c>
      <c r="J36">
        <v>2.0929169311659299</v>
      </c>
      <c r="K36">
        <v>1.7057780368518503</v>
      </c>
      <c r="L36">
        <v>2.98789924252827</v>
      </c>
      <c r="M36">
        <v>135.32898282958098</v>
      </c>
      <c r="N36">
        <v>184.066129772756</v>
      </c>
      <c r="O36">
        <v>268.13344562864302</v>
      </c>
      <c r="P36">
        <v>371.24217799335099</v>
      </c>
      <c r="Q36">
        <v>508.914278177006</v>
      </c>
      <c r="R36">
        <v>672.70688534689305</v>
      </c>
      <c r="S36">
        <v>658.74766542008695</v>
      </c>
      <c r="T36">
        <v>644.62727907003193</v>
      </c>
      <c r="U36" t="s">
        <v>33</v>
      </c>
      <c r="V36">
        <v>613.26972117037599</v>
      </c>
      <c r="W36" t="s">
        <v>33</v>
      </c>
      <c r="X36">
        <v>588.28812060492203</v>
      </c>
      <c r="Y36" t="s">
        <v>33</v>
      </c>
      <c r="Z36">
        <v>567.56145370540605</v>
      </c>
      <c r="AA36" t="s">
        <v>33</v>
      </c>
      <c r="AB36">
        <v>547.73933501505098</v>
      </c>
    </row>
    <row r="38" spans="1:28" x14ac:dyDescent="0.25">
      <c r="L38">
        <f>L20*1.186905016/10</f>
        <v>0</v>
      </c>
      <c r="M38">
        <f t="shared" ref="M38:AB38" si="0">M20*1.186905016/10</f>
        <v>4.9242517077660732</v>
      </c>
      <c r="N38">
        <f t="shared" si="0"/>
        <v>9.1773762825700569</v>
      </c>
      <c r="O38">
        <f t="shared" si="0"/>
        <v>12.948433450600561</v>
      </c>
      <c r="P38">
        <f t="shared" si="0"/>
        <v>16.003230235530562</v>
      </c>
      <c r="Q38">
        <f t="shared" si="0"/>
        <v>21.882967779992004</v>
      </c>
      <c r="R38">
        <f t="shared" si="0"/>
        <v>31.543436955269357</v>
      </c>
      <c r="S38">
        <f t="shared" si="0"/>
        <v>46.340332539688006</v>
      </c>
      <c r="T38">
        <f t="shared" si="0"/>
        <v>69.383215115616153</v>
      </c>
      <c r="U38">
        <f t="shared" si="0"/>
        <v>110.51596629045369</v>
      </c>
      <c r="V38">
        <f t="shared" si="0"/>
        <v>101.37622795284599</v>
      </c>
      <c r="W38">
        <f t="shared" si="0"/>
        <v>93.70662577520639</v>
      </c>
      <c r="X38">
        <f t="shared" si="0"/>
        <v>90.332088648016168</v>
      </c>
      <c r="Y38">
        <f t="shared" si="0"/>
        <v>89.204469537565359</v>
      </c>
      <c r="Z38">
        <f t="shared" si="0"/>
        <v>89.718233242791129</v>
      </c>
      <c r="AA38">
        <f>AA20*1.186905016/10</f>
        <v>91.383662754091844</v>
      </c>
      <c r="AB38">
        <f t="shared" si="0"/>
        <v>101.15247261922968</v>
      </c>
    </row>
    <row r="39" spans="1:28" x14ac:dyDescent="0.25">
      <c r="L39">
        <f t="shared" ref="L39:AB39" si="1">L21*1.186905016/10</f>
        <v>0</v>
      </c>
      <c r="M39">
        <f t="shared" si="1"/>
        <v>3.5775145015964647</v>
      </c>
      <c r="N39">
        <f t="shared" si="1"/>
        <v>9.501315894776905</v>
      </c>
      <c r="O39">
        <f t="shared" si="1"/>
        <v>9.8786887838990562</v>
      </c>
      <c r="P39">
        <f t="shared" si="1"/>
        <v>11.365804807026032</v>
      </c>
      <c r="Q39">
        <f t="shared" si="1"/>
        <v>14.75775145699096</v>
      </c>
      <c r="R39">
        <f t="shared" si="1"/>
        <v>18.655262672331123</v>
      </c>
      <c r="S39">
        <f t="shared" si="1"/>
        <v>21.948200079671359</v>
      </c>
      <c r="T39">
        <f t="shared" si="1"/>
        <v>26.281424126385122</v>
      </c>
      <c r="U39">
        <f t="shared" si="1"/>
        <v>31.406456247372802</v>
      </c>
      <c r="V39">
        <f t="shared" si="1"/>
        <v>36.182051662599925</v>
      </c>
      <c r="W39">
        <f t="shared" si="1"/>
        <v>41.746119949006001</v>
      </c>
      <c r="X39">
        <f t="shared" si="1"/>
        <v>47.895462967851842</v>
      </c>
      <c r="Y39">
        <f t="shared" si="1"/>
        <v>52.401452908694566</v>
      </c>
      <c r="Z39">
        <f t="shared" si="1"/>
        <v>56.689194755195196</v>
      </c>
      <c r="AA39">
        <f t="shared" si="1"/>
        <v>61.852741943952083</v>
      </c>
      <c r="AB39">
        <f t="shared" si="1"/>
        <v>69.217629996834006</v>
      </c>
    </row>
    <row r="40" spans="1:28" x14ac:dyDescent="0.25">
      <c r="L40">
        <f t="shared" ref="L40:AB40" si="2">L22*1.186905016/10</f>
        <v>0</v>
      </c>
      <c r="M40">
        <f t="shared" si="2"/>
        <v>0</v>
      </c>
      <c r="N40">
        <f t="shared" si="2"/>
        <v>0</v>
      </c>
      <c r="O40">
        <f t="shared" si="2"/>
        <v>16.056890211303923</v>
      </c>
      <c r="P40">
        <f t="shared" si="2"/>
        <v>22.42226181211192</v>
      </c>
      <c r="Q40">
        <f t="shared" si="2"/>
        <v>39.027062985951922</v>
      </c>
      <c r="R40">
        <f t="shared" si="2"/>
        <v>83.559418721917623</v>
      </c>
      <c r="S40">
        <f t="shared" si="2"/>
        <v>107.87715597553135</v>
      </c>
      <c r="T40">
        <f t="shared" si="2"/>
        <v>185.59348877988162</v>
      </c>
      <c r="U40">
        <f t="shared" si="2"/>
        <v>276.71420459672879</v>
      </c>
      <c r="V40">
        <f t="shared" si="2"/>
        <v>367.83515779457923</v>
      </c>
      <c r="W40">
        <f t="shared" si="2"/>
        <v>458.95575492092485</v>
      </c>
      <c r="X40">
        <f t="shared" si="2"/>
        <v>550.07599597576564</v>
      </c>
      <c r="Y40">
        <f t="shared" si="2"/>
        <v>641.1988482216417</v>
      </c>
      <c r="Z40">
        <f t="shared" si="2"/>
        <v>732.31837713347284</v>
      </c>
      <c r="AA40">
        <f t="shared" si="2"/>
        <v>823.44027985533614</v>
      </c>
      <c r="AB40">
        <f t="shared" si="2"/>
        <v>914.55980876716717</v>
      </c>
    </row>
    <row r="41" spans="1:28" x14ac:dyDescent="0.25">
      <c r="L41">
        <f t="shared" ref="L41:AB41" si="3">L23*1.186905016/10</f>
        <v>0</v>
      </c>
      <c r="M41">
        <f t="shared" si="3"/>
        <v>24.246226226399763</v>
      </c>
      <c r="N41">
        <f t="shared" si="3"/>
        <v>31.296976128696961</v>
      </c>
      <c r="O41">
        <f t="shared" si="3"/>
        <v>41.928606595216003</v>
      </c>
      <c r="P41">
        <f t="shared" si="3"/>
        <v>50.065338980002728</v>
      </c>
      <c r="Q41">
        <f t="shared" si="3"/>
        <v>87.967204141736474</v>
      </c>
      <c r="R41">
        <f t="shared" si="3"/>
        <v>195.43162576700402</v>
      </c>
      <c r="S41">
        <f t="shared" si="3"/>
        <v>212.6486325480968</v>
      </c>
      <c r="T41">
        <f t="shared" si="3"/>
        <v>212.92838606036804</v>
      </c>
      <c r="U41">
        <f t="shared" si="3"/>
        <v>236.71028317545841</v>
      </c>
      <c r="V41">
        <f t="shared" si="3"/>
        <v>247.22400649768801</v>
      </c>
      <c r="W41">
        <f t="shared" si="3"/>
        <v>254.87206634928725</v>
      </c>
      <c r="X41">
        <f t="shared" si="3"/>
        <v>308.08101821656726</v>
      </c>
      <c r="Y41">
        <f t="shared" si="3"/>
        <v>301.40159154852563</v>
      </c>
      <c r="Z41">
        <f t="shared" si="3"/>
        <v>286.98318810465923</v>
      </c>
      <c r="AA41">
        <f t="shared" si="3"/>
        <v>267.79591899700642</v>
      </c>
      <c r="AB41">
        <f t="shared" si="3"/>
        <v>267.34703151995524</v>
      </c>
    </row>
    <row r="42" spans="1:28" x14ac:dyDescent="0.25">
      <c r="L42">
        <f t="shared" ref="L42:AB42" si="4">L24*1.186905016/10</f>
        <v>0</v>
      </c>
      <c r="M42">
        <f t="shared" si="4"/>
        <v>7.2487529577813685</v>
      </c>
      <c r="N42">
        <f t="shared" si="4"/>
        <v>11.496855737462656</v>
      </c>
      <c r="O42">
        <f t="shared" si="4"/>
        <v>16.34541495164336</v>
      </c>
      <c r="P42">
        <f t="shared" si="4"/>
        <v>20.742375797716321</v>
      </c>
      <c r="Q42">
        <f t="shared" si="4"/>
        <v>31.765495014712798</v>
      </c>
      <c r="R42">
        <f t="shared" si="4"/>
        <v>66.731277631216884</v>
      </c>
      <c r="S42">
        <f t="shared" si="4"/>
        <v>90.471704285048247</v>
      </c>
      <c r="T42">
        <f t="shared" si="4"/>
        <v>101.67849705327073</v>
      </c>
      <c r="U42">
        <f t="shared" si="4"/>
        <v>107.80774577019569</v>
      </c>
      <c r="V42">
        <f t="shared" si="4"/>
        <v>132.36281655080882</v>
      </c>
      <c r="W42">
        <f t="shared" si="4"/>
        <v>172.81135259107279</v>
      </c>
      <c r="X42">
        <f t="shared" si="4"/>
        <v>231.66071447538803</v>
      </c>
      <c r="Y42">
        <f t="shared" si="4"/>
        <v>240.9770880174768</v>
      </c>
      <c r="Z42">
        <f t="shared" si="4"/>
        <v>266.52688015389924</v>
      </c>
      <c r="AA42">
        <f t="shared" si="4"/>
        <v>294.1823604792072</v>
      </c>
      <c r="AB42">
        <f t="shared" si="4"/>
        <v>375.74694794073361</v>
      </c>
    </row>
    <row r="43" spans="1:28" x14ac:dyDescent="0.25">
      <c r="L43">
        <f t="shared" ref="L43:AB43" si="5">L25*1.186905016/10</f>
        <v>0.57609088583055845</v>
      </c>
      <c r="M43">
        <f t="shared" si="5"/>
        <v>4.9750872632334993</v>
      </c>
      <c r="N43">
        <f t="shared" si="5"/>
        <v>6.4555841405750369</v>
      </c>
      <c r="O43">
        <f t="shared" si="5"/>
        <v>7.5020532334181329</v>
      </c>
      <c r="P43">
        <f t="shared" si="5"/>
        <v>10.735508462821336</v>
      </c>
      <c r="Q43">
        <f t="shared" si="5"/>
        <v>13.103748282800435</v>
      </c>
      <c r="R43">
        <f t="shared" si="5"/>
        <v>15.690894066202457</v>
      </c>
      <c r="S43">
        <f t="shared" si="5"/>
        <v>21.888356502544724</v>
      </c>
      <c r="T43">
        <f t="shared" si="5"/>
        <v>28.763711848996014</v>
      </c>
      <c r="U43" t="e">
        <f t="shared" si="5"/>
        <v>#VALUE!</v>
      </c>
      <c r="V43">
        <f t="shared" si="5"/>
        <v>39.114095720525484</v>
      </c>
      <c r="W43" t="e">
        <f t="shared" si="5"/>
        <v>#VALUE!</v>
      </c>
      <c r="X43">
        <f t="shared" si="5"/>
        <v>33.18625895362019</v>
      </c>
      <c r="Y43" t="e">
        <f t="shared" si="5"/>
        <v>#VALUE!</v>
      </c>
      <c r="Z43">
        <f t="shared" si="5"/>
        <v>27.414668717628238</v>
      </c>
      <c r="AA43" t="e">
        <f t="shared" si="5"/>
        <v>#VALUE!</v>
      </c>
      <c r="AB43">
        <f t="shared" si="5"/>
        <v>24.046053850210832</v>
      </c>
    </row>
    <row r="44" spans="1:28" x14ac:dyDescent="0.25">
      <c r="L44">
        <f t="shared" ref="L44:AB44" si="6">L26*1.186905016/10</f>
        <v>0.57609088583055845</v>
      </c>
      <c r="M44">
        <f t="shared" si="6"/>
        <v>3.0447974837405547</v>
      </c>
      <c r="N44">
        <f t="shared" si="6"/>
        <v>13.266184344276249</v>
      </c>
      <c r="O44">
        <f t="shared" si="6"/>
        <v>14.592448842078833</v>
      </c>
      <c r="P44">
        <f t="shared" si="6"/>
        <v>14.4894146386291</v>
      </c>
      <c r="Q44">
        <f t="shared" si="6"/>
        <v>14.386380435179365</v>
      </c>
      <c r="R44">
        <f t="shared" si="6"/>
        <v>14.283346231729629</v>
      </c>
      <c r="S44">
        <f t="shared" si="6"/>
        <v>14.180312028279909</v>
      </c>
      <c r="T44">
        <f t="shared" si="6"/>
        <v>14.077277824830173</v>
      </c>
      <c r="U44" t="e">
        <f t="shared" si="6"/>
        <v>#VALUE!</v>
      </c>
      <c r="V44">
        <f t="shared" si="6"/>
        <v>13.871209417930704</v>
      </c>
      <c r="W44" t="e">
        <f t="shared" si="6"/>
        <v>#VALUE!</v>
      </c>
      <c r="X44">
        <f t="shared" si="6"/>
        <v>13.665141011031235</v>
      </c>
      <c r="Y44" t="e">
        <f t="shared" si="6"/>
        <v>#VALUE!</v>
      </c>
      <c r="Z44">
        <f t="shared" si="6"/>
        <v>13.459072604131766</v>
      </c>
      <c r="AA44" t="e">
        <f t="shared" si="6"/>
        <v>#VALUE!</v>
      </c>
      <c r="AB44">
        <f t="shared" si="6"/>
        <v>13.253004197232309</v>
      </c>
    </row>
    <row r="45" spans="1:28" x14ac:dyDescent="0.25">
      <c r="L45">
        <f t="shared" ref="L45:AB45" si="7">L27*1.186905016/10</f>
        <v>0.57609088583055845</v>
      </c>
      <c r="M45">
        <f t="shared" si="7"/>
        <v>0.70024570893116467</v>
      </c>
      <c r="N45">
        <f t="shared" si="7"/>
        <v>0.30522655873954518</v>
      </c>
      <c r="O45">
        <f t="shared" si="7"/>
        <v>42.069830102567565</v>
      </c>
      <c r="P45">
        <f t="shared" si="7"/>
        <v>76.3807057333226</v>
      </c>
      <c r="Q45">
        <f t="shared" si="7"/>
        <v>68.923675344006227</v>
      </c>
      <c r="R45">
        <f t="shared" si="7"/>
        <v>109.83741397037571</v>
      </c>
      <c r="S45">
        <f t="shared" si="7"/>
        <v>192.12907901278942</v>
      </c>
      <c r="T45">
        <f t="shared" si="7"/>
        <v>150.71222184657728</v>
      </c>
      <c r="U45" t="e">
        <f t="shared" si="7"/>
        <v>#VALUE!</v>
      </c>
      <c r="V45">
        <f t="shared" si="7"/>
        <v>256.70158351899846</v>
      </c>
      <c r="W45" t="e">
        <f t="shared" si="7"/>
        <v>#VALUE!</v>
      </c>
      <c r="X45">
        <f t="shared" si="7"/>
        <v>60.748151162874343</v>
      </c>
      <c r="Y45" t="e">
        <f t="shared" si="7"/>
        <v>#VALUE!</v>
      </c>
      <c r="Z45">
        <f t="shared" si="7"/>
        <v>55.529494550622758</v>
      </c>
      <c r="AA45" t="e">
        <f t="shared" si="7"/>
        <v>#VALUE!</v>
      </c>
      <c r="AB45">
        <f t="shared" si="7"/>
        <v>31.699338542830979</v>
      </c>
    </row>
    <row r="46" spans="1:28" x14ac:dyDescent="0.25">
      <c r="L46">
        <f t="shared" ref="L46:AB46" si="8">L28*1.186905016/10</f>
        <v>0.57609088583055845</v>
      </c>
      <c r="M46">
        <f t="shared" si="8"/>
        <v>19.860683325893611</v>
      </c>
      <c r="N46">
        <f t="shared" si="8"/>
        <v>26.751513779159211</v>
      </c>
      <c r="O46">
        <f t="shared" si="8"/>
        <v>37.289677879422996</v>
      </c>
      <c r="P46">
        <f t="shared" si="8"/>
        <v>43.910378780852071</v>
      </c>
      <c r="Q46">
        <f t="shared" si="8"/>
        <v>57.531175331524594</v>
      </c>
      <c r="R46">
        <f t="shared" si="8"/>
        <v>84.218975122325432</v>
      </c>
      <c r="S46">
        <f t="shared" si="8"/>
        <v>130.97123689579485</v>
      </c>
      <c r="T46">
        <f t="shared" si="8"/>
        <v>158.57524707582581</v>
      </c>
      <c r="U46" t="e">
        <f t="shared" si="8"/>
        <v>#VALUE!</v>
      </c>
      <c r="V46">
        <f t="shared" si="8"/>
        <v>60.051197060301533</v>
      </c>
      <c r="W46" t="e">
        <f t="shared" si="8"/>
        <v>#VALUE!</v>
      </c>
      <c r="X46">
        <f t="shared" si="8"/>
        <v>50.904454435230988</v>
      </c>
      <c r="Y46" t="e">
        <f t="shared" si="8"/>
        <v>#VALUE!</v>
      </c>
      <c r="Z46">
        <f t="shared" si="8"/>
        <v>60.120595017241712</v>
      </c>
      <c r="AA46" t="e">
        <f t="shared" si="8"/>
        <v>#VALUE!</v>
      </c>
      <c r="AB46">
        <f t="shared" si="8"/>
        <v>52.816567354563368</v>
      </c>
    </row>
    <row r="47" spans="1:28" x14ac:dyDescent="0.25">
      <c r="L47">
        <f t="shared" ref="L47:AB47" si="9">L29*1.186905016/10</f>
        <v>0.57609088583055845</v>
      </c>
      <c r="M47">
        <f t="shared" si="9"/>
        <v>0.70024570893116467</v>
      </c>
      <c r="N47">
        <f t="shared" si="9"/>
        <v>0.30522655873954518</v>
      </c>
      <c r="O47">
        <f t="shared" si="9"/>
        <v>0.44600252904884197</v>
      </c>
      <c r="P47">
        <f t="shared" si="9"/>
        <v>0.55389338991954018</v>
      </c>
      <c r="Q47">
        <f t="shared" si="9"/>
        <v>0.66178425079023839</v>
      </c>
      <c r="R47">
        <f t="shared" si="9"/>
        <v>0.7696751116609365</v>
      </c>
      <c r="S47">
        <f t="shared" si="9"/>
        <v>0.87756597253163449</v>
      </c>
      <c r="T47">
        <f t="shared" si="9"/>
        <v>0.98545683340233303</v>
      </c>
      <c r="U47" t="e">
        <f t="shared" si="9"/>
        <v>#VALUE!</v>
      </c>
      <c r="V47">
        <f t="shared" si="9"/>
        <v>1.2012385551437295</v>
      </c>
      <c r="W47" t="e">
        <f t="shared" si="9"/>
        <v>#VALUE!</v>
      </c>
      <c r="X47">
        <f t="shared" si="9"/>
        <v>1.4170202768851266</v>
      </c>
      <c r="Y47" t="e">
        <f t="shared" si="9"/>
        <v>#VALUE!</v>
      </c>
      <c r="Z47">
        <f t="shared" si="9"/>
        <v>1.6328019986265221</v>
      </c>
      <c r="AA47" t="e">
        <f t="shared" si="9"/>
        <v>#VALUE!</v>
      </c>
      <c r="AB47">
        <f t="shared" si="9"/>
        <v>1.8485837203679192</v>
      </c>
    </row>
    <row r="48" spans="1:28" x14ac:dyDescent="0.25">
      <c r="L48">
        <f t="shared" ref="L48:AB48" si="10">L30*1.186905016/10</f>
        <v>0.57609088583055845</v>
      </c>
      <c r="M48">
        <f t="shared" si="10"/>
        <v>17.269103348067201</v>
      </c>
      <c r="N48">
        <f t="shared" si="10"/>
        <v>23.470317275095994</v>
      </c>
      <c r="O48">
        <f t="shared" si="10"/>
        <v>32.675975369696808</v>
      </c>
      <c r="P48">
        <f t="shared" si="10"/>
        <v>40.066054590337323</v>
      </c>
      <c r="Q48">
        <f t="shared" si="10"/>
        <v>49.461718194435107</v>
      </c>
      <c r="R48">
        <f t="shared" si="10"/>
        <v>57.710995490478219</v>
      </c>
      <c r="S48">
        <f t="shared" si="10"/>
        <v>92.431375939640503</v>
      </c>
      <c r="T48">
        <f t="shared" si="10"/>
        <v>71.541030195559216</v>
      </c>
      <c r="U48" t="e">
        <f t="shared" si="10"/>
        <v>#VALUE!</v>
      </c>
      <c r="V48">
        <f t="shared" si="10"/>
        <v>30.324774718946571</v>
      </c>
      <c r="W48" t="e">
        <f t="shared" si="10"/>
        <v>#VALUE!</v>
      </c>
      <c r="X48">
        <f t="shared" si="10"/>
        <v>24.989254184731287</v>
      </c>
      <c r="Y48" t="e">
        <f t="shared" si="10"/>
        <v>#VALUE!</v>
      </c>
      <c r="Z48">
        <f t="shared" si="10"/>
        <v>30.498836915207317</v>
      </c>
      <c r="AA48" t="e">
        <f t="shared" si="10"/>
        <v>#VALUE!</v>
      </c>
      <c r="AB48">
        <f t="shared" si="10"/>
        <v>25.611556235307944</v>
      </c>
    </row>
    <row r="49" spans="12:28" x14ac:dyDescent="0.25">
      <c r="L49">
        <f t="shared" ref="L49:AB49" si="11">L31*1.186905016/10</f>
        <v>0.35463525988193034</v>
      </c>
      <c r="M49">
        <f t="shared" si="11"/>
        <v>5.1044581100402935</v>
      </c>
      <c r="N49">
        <f t="shared" si="11"/>
        <v>6.8707885187599569</v>
      </c>
      <c r="O49">
        <f t="shared" si="11"/>
        <v>9.2560784218866399</v>
      </c>
      <c r="P49">
        <f t="shared" si="11"/>
        <v>12.59501377646351</v>
      </c>
      <c r="Q49">
        <f t="shared" si="11"/>
        <v>17.127733981433462</v>
      </c>
      <c r="R49">
        <f t="shared" si="11"/>
        <v>22.951866545133726</v>
      </c>
      <c r="S49">
        <f t="shared" si="11"/>
        <v>25.820965369904336</v>
      </c>
      <c r="T49">
        <f t="shared" si="11"/>
        <v>28.690305373774198</v>
      </c>
      <c r="U49" t="e">
        <f t="shared" si="11"/>
        <v>#VALUE!</v>
      </c>
      <c r="V49">
        <f t="shared" si="11"/>
        <v>34.428426764668139</v>
      </c>
      <c r="W49" t="e">
        <f t="shared" si="11"/>
        <v>#VALUE!</v>
      </c>
      <c r="X49">
        <f t="shared" si="11"/>
        <v>40.167936229109237</v>
      </c>
      <c r="Y49" t="e">
        <f t="shared" si="11"/>
        <v>#VALUE!</v>
      </c>
      <c r="Z49">
        <f t="shared" si="11"/>
        <v>45.905990120714925</v>
      </c>
      <c r="AA49" t="e">
        <f t="shared" si="11"/>
        <v>#VALUE!</v>
      </c>
      <c r="AB49">
        <f t="shared" si="11"/>
        <v>49.849165773664375</v>
      </c>
    </row>
    <row r="50" spans="12:28" x14ac:dyDescent="0.25">
      <c r="L50">
        <f t="shared" ref="L50:AB50" si="12">L32*1.186905016/10</f>
        <v>0.35463525988193034</v>
      </c>
      <c r="M50">
        <f t="shared" si="12"/>
        <v>1.012644106401579</v>
      </c>
      <c r="N50">
        <f t="shared" si="12"/>
        <v>1.183551700971877</v>
      </c>
      <c r="O50">
        <f t="shared" si="12"/>
        <v>1.7467035230500394</v>
      </c>
      <c r="P50">
        <f t="shared" si="12"/>
        <v>2.4757981486564598</v>
      </c>
      <c r="Q50">
        <f t="shared" si="12"/>
        <v>3.2453655813238163</v>
      </c>
      <c r="R50">
        <f t="shared" si="12"/>
        <v>4.0420555074976159</v>
      </c>
      <c r="S50">
        <f t="shared" si="12"/>
        <v>4.8865221028769303</v>
      </c>
      <c r="T50">
        <f t="shared" si="12"/>
        <v>5.7392121850893671</v>
      </c>
      <c r="U50" t="e">
        <f t="shared" si="12"/>
        <v>#VALUE!</v>
      </c>
      <c r="V50">
        <f t="shared" si="12"/>
        <v>7.4228950065573205</v>
      </c>
      <c r="W50" t="e">
        <f t="shared" si="12"/>
        <v>#VALUE!</v>
      </c>
      <c r="X50">
        <f t="shared" si="12"/>
        <v>8.9618095763865391</v>
      </c>
      <c r="Y50" t="e">
        <f t="shared" si="12"/>
        <v>#VALUE!</v>
      </c>
      <c r="Z50">
        <f t="shared" si="12"/>
        <v>10.409476195368098</v>
      </c>
      <c r="AA50" t="e">
        <f t="shared" si="12"/>
        <v>#VALUE!</v>
      </c>
      <c r="AB50">
        <f t="shared" si="12"/>
        <v>11.964360876035281</v>
      </c>
    </row>
    <row r="51" spans="12:28" x14ac:dyDescent="0.25">
      <c r="L51">
        <f t="shared" ref="L51:AB51" si="13">L33*1.186905016/10</f>
        <v>0.35463525988193034</v>
      </c>
      <c r="M51">
        <f t="shared" si="13"/>
        <v>0.29538646885258063</v>
      </c>
      <c r="N51">
        <f t="shared" si="13"/>
        <v>0.29566797957772806</v>
      </c>
      <c r="O51">
        <f t="shared" si="13"/>
        <v>27.520167919232883</v>
      </c>
      <c r="P51">
        <f t="shared" si="13"/>
        <v>39.424592097829631</v>
      </c>
      <c r="Q51">
        <f t="shared" si="13"/>
        <v>54.631669023560804</v>
      </c>
      <c r="R51">
        <f t="shared" si="13"/>
        <v>73.81656656443208</v>
      </c>
      <c r="S51">
        <f t="shared" si="13"/>
        <v>81.185748626018992</v>
      </c>
      <c r="T51">
        <f t="shared" si="13"/>
        <v>89.226137046477817</v>
      </c>
      <c r="U51" t="e">
        <f t="shared" si="13"/>
        <v>#VALUE!</v>
      </c>
      <c r="V51">
        <f t="shared" si="13"/>
        <v>100.77992851073653</v>
      </c>
      <c r="W51" t="e">
        <f t="shared" si="13"/>
        <v>#VALUE!</v>
      </c>
      <c r="X51">
        <f t="shared" si="13"/>
        <v>112.80688320846964</v>
      </c>
      <c r="Y51" t="e">
        <f t="shared" si="13"/>
        <v>#VALUE!</v>
      </c>
      <c r="Z51">
        <f t="shared" si="13"/>
        <v>124.63016752169582</v>
      </c>
      <c r="AA51" t="e">
        <f t="shared" si="13"/>
        <v>#VALUE!</v>
      </c>
      <c r="AB51">
        <f t="shared" si="13"/>
        <v>136.79247461233405</v>
      </c>
    </row>
    <row r="52" spans="12:28" x14ac:dyDescent="0.25">
      <c r="L52">
        <f t="shared" ref="L52:AB52" si="14">L34*1.186905016/10</f>
        <v>0.35463525982594046</v>
      </c>
      <c r="M52">
        <f t="shared" si="14"/>
        <v>22.063210344888248</v>
      </c>
      <c r="N52">
        <f t="shared" si="14"/>
        <v>33.044015567230815</v>
      </c>
      <c r="O52">
        <f t="shared" si="14"/>
        <v>46.633223167700194</v>
      </c>
      <c r="P52">
        <f t="shared" si="14"/>
        <v>60.667970116730189</v>
      </c>
      <c r="Q52">
        <f t="shared" si="14"/>
        <v>76.855802431149812</v>
      </c>
      <c r="R52">
        <f t="shared" si="14"/>
        <v>92.953541604639256</v>
      </c>
      <c r="S52">
        <f t="shared" si="14"/>
        <v>95.741703346761241</v>
      </c>
      <c r="T52">
        <f t="shared" si="14"/>
        <v>94.217275979325137</v>
      </c>
      <c r="U52" t="e">
        <f t="shared" si="14"/>
        <v>#VALUE!</v>
      </c>
      <c r="V52">
        <f t="shared" si="14"/>
        <v>98.380024324483571</v>
      </c>
      <c r="W52" t="e">
        <f t="shared" si="14"/>
        <v>#VALUE!</v>
      </c>
      <c r="X52">
        <f t="shared" si="14"/>
        <v>102.02874594626468</v>
      </c>
      <c r="Y52" t="e">
        <f t="shared" si="14"/>
        <v>#VALUE!</v>
      </c>
      <c r="Z52">
        <f t="shared" si="14"/>
        <v>107.04441295967256</v>
      </c>
      <c r="AA52" t="e">
        <f t="shared" si="14"/>
        <v>#VALUE!</v>
      </c>
      <c r="AB52">
        <f t="shared" si="14"/>
        <v>109.84900141973984</v>
      </c>
    </row>
    <row r="53" spans="12:28" x14ac:dyDescent="0.25">
      <c r="L53">
        <f t="shared" ref="L53:AB53" si="15">L35*1.186905016/10</f>
        <v>0.35463525988193034</v>
      </c>
      <c r="M53">
        <f t="shared" si="15"/>
        <v>0.29538646885258063</v>
      </c>
      <c r="N53">
        <f t="shared" si="15"/>
        <v>0.29566797957772806</v>
      </c>
      <c r="O53">
        <f t="shared" si="15"/>
        <v>0.31271006682554037</v>
      </c>
      <c r="P53">
        <f t="shared" si="15"/>
        <v>0.33914462757351882</v>
      </c>
      <c r="Q53">
        <f t="shared" si="15"/>
        <v>0.37334937179745525</v>
      </c>
      <c r="R53">
        <f t="shared" si="15"/>
        <v>0.42200869811050329</v>
      </c>
      <c r="S53">
        <f t="shared" si="15"/>
        <v>0.48557310568803541</v>
      </c>
      <c r="T53">
        <f t="shared" si="15"/>
        <v>0.56284924212731402</v>
      </c>
      <c r="U53" t="e">
        <f t="shared" si="15"/>
        <v>#VALUE!</v>
      </c>
      <c r="V53">
        <f t="shared" si="15"/>
        <v>0.74730435262146533</v>
      </c>
      <c r="W53" t="e">
        <f t="shared" si="15"/>
        <v>#VALUE!</v>
      </c>
      <c r="X53">
        <f t="shared" si="15"/>
        <v>0.98372996042693228</v>
      </c>
      <c r="Y53" t="e">
        <f t="shared" si="15"/>
        <v>#VALUE!</v>
      </c>
      <c r="Z53">
        <f t="shared" si="15"/>
        <v>1.2861918531567351</v>
      </c>
      <c r="AA53" t="e">
        <f t="shared" si="15"/>
        <v>#VALUE!</v>
      </c>
      <c r="AB53">
        <f t="shared" si="15"/>
        <v>1.669002954718112</v>
      </c>
    </row>
    <row r="54" spans="12:28" x14ac:dyDescent="0.25">
      <c r="L54">
        <f t="shared" ref="L54:AB54" si="16">L36*1.186905016/10</f>
        <v>0.35463525982594046</v>
      </c>
      <c r="M54">
        <f t="shared" si="16"/>
        <v>16.062264853060757</v>
      </c>
      <c r="N54">
        <f t="shared" si="16"/>
        <v>21.846901270299107</v>
      </c>
      <c r="O54">
        <f t="shared" si="16"/>
        <v>31.82489315739997</v>
      </c>
      <c r="P54">
        <f t="shared" si="16"/>
        <v>44.062920321107313</v>
      </c>
      <c r="Q54">
        <f t="shared" si="16"/>
        <v>60.403290948230776</v>
      </c>
      <c r="R54">
        <f t="shared" si="16"/>
        <v>79.843917651596428</v>
      </c>
      <c r="S54">
        <f t="shared" si="16"/>
        <v>78.187090836539099</v>
      </c>
      <c r="T54">
        <f t="shared" si="16"/>
        <v>76.511135097865278</v>
      </c>
      <c r="U54" t="e">
        <f t="shared" si="16"/>
        <v>#VALUE!</v>
      </c>
      <c r="V54">
        <f t="shared" si="16"/>
        <v>72.789290821804073</v>
      </c>
      <c r="W54" t="e">
        <f t="shared" si="16"/>
        <v>#VALUE!</v>
      </c>
      <c r="X54">
        <f t="shared" si="16"/>
        <v>69.824212119919494</v>
      </c>
      <c r="Y54" t="e">
        <f t="shared" si="16"/>
        <v>#VALUE!</v>
      </c>
      <c r="Z54">
        <f t="shared" si="16"/>
        <v>67.364153629119826</v>
      </c>
      <c r="AA54" t="e">
        <f t="shared" si="16"/>
        <v>#VALUE!</v>
      </c>
      <c r="AB54">
        <f t="shared" si="16"/>
        <v>65.011456418986853</v>
      </c>
    </row>
  </sheetData>
  <sortState xmlns:xlrd2="http://schemas.microsoft.com/office/spreadsheetml/2017/richdata2" ref="A2:AB36">
    <sortCondition ref="D2:D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.75" x14ac:dyDescent="0.25"/>
  <sheetData>
    <row r="1" spans="1:1" x14ac:dyDescent="0.25">
      <c r="A1" t="s">
        <v>43</v>
      </c>
    </row>
    <row r="2" spans="1:1" x14ac:dyDescent="0.25">
      <c r="A2" t="s">
        <v>44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Emissions</vt:lpstr>
      <vt:lpstr>CPrice</vt:lpstr>
      <vt:lpstr>Feuil1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2023-04-27T12:57:45Z</dcterms:modified>
</cp:coreProperties>
</file>